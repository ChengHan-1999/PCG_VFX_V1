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543b6b709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b786e6f9b4345df"/>
    <x:sheet xmlns:r="http://schemas.openxmlformats.org/officeDocument/2006/relationships" name="Static Raw" sheetId="2" r:id="Rf82d442d2e26412a"/>
    <x:sheet xmlns:r="http://schemas.openxmlformats.org/officeDocument/2006/relationships" name="Dynamic Raw" sheetId="3" r:id="R27c241f6f38b4311"/>
    <x:sheet xmlns:r="http://schemas.openxmlformats.org/officeDocument/2006/relationships" name="Decay Raw" sheetId="4" r:id="Rb08ef86400b64057"/>
    <x:sheet xmlns:r="http://schemas.openxmlformats.org/officeDocument/2006/relationships" name="Static Pairwise" sheetId="5" r:id="R5b5ebf67996145d5"/>
    <x:sheet xmlns:r="http://schemas.openxmlformats.org/officeDocument/2006/relationships" name="Direction Map" sheetId="6" r:id="R3de5f13043394791"/>
    <x:sheet xmlns:r="http://schemas.openxmlformats.org/officeDocument/2006/relationships" name="Direction Audit" sheetId="7" r:id="Rd1739a8e4a7f4520"/>
    <x:sheet xmlns:r="http://schemas.openxmlformats.org/officeDocument/2006/relationships" name="Metrics Summary" sheetId="8" r:id="Rf2c56b3bbf06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20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641c7a67940c2" /><Relationship Type="http://schemas.openxmlformats.org/officeDocument/2006/relationships/theme" Target="/xl/theme/theme1.xml" Id="R3893def93298468a" /><Relationship Type="http://schemas.openxmlformats.org/officeDocument/2006/relationships/sharedStrings" Target="/xl/sharedStrings.xml" Id="R3dc8eeddac854ae6" /><Relationship Type="http://schemas.openxmlformats.org/officeDocument/2006/relationships/worksheet" Target="/xl/worksheets/sheet1.xml" Id="R2b786e6f9b4345df" /><Relationship Type="http://schemas.openxmlformats.org/officeDocument/2006/relationships/worksheet" Target="/xl/worksheets/sheet2.xml" Id="Rf82d442d2e26412a" /><Relationship Type="http://schemas.openxmlformats.org/officeDocument/2006/relationships/worksheet" Target="/xl/worksheets/sheet3.xml" Id="R27c241f6f38b4311" /><Relationship Type="http://schemas.openxmlformats.org/officeDocument/2006/relationships/worksheet" Target="/xl/worksheets/sheet4.xml" Id="Rb08ef86400b64057" /><Relationship Type="http://schemas.openxmlformats.org/officeDocument/2006/relationships/worksheet" Target="/xl/worksheets/sheet5.xml" Id="R5b5ebf67996145d5" /><Relationship Type="http://schemas.openxmlformats.org/officeDocument/2006/relationships/worksheet" Target="/xl/worksheets/sheet6.xml" Id="R3de5f13043394791" /><Relationship Type="http://schemas.openxmlformats.org/officeDocument/2006/relationships/worksheet" Target="/xl/worksheets/sheet7.xml" Id="Rd1739a8e4a7f4520" /><Relationship Type="http://schemas.openxmlformats.org/officeDocument/2006/relationships/worksheet" Target="/xl/worksheets/sheet8.xml" Id="Rf2c56b3bbf0645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784eeb61a54a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Smoothed semantic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Ice</c:v>
          </c:tx>
          <c:marker>
            <c:symbol val="none"/>
          </c:marker>
          <c:cat>
            <c:strRef>
              <c:f>'Metrics Summary'!$F$13:$F$19</c:f>
              <c:strCache>
                <c:ptCount val="0"/>
              </c:strCache>
            </c:strRef>
          </c:cat>
          <c:val>
            <c:numRef>
              <c:f>'Metrics Summary'!$G$13:$G$19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Forest</c:v>
          </c:tx>
          <c:marker>
            <c:symbol val="none"/>
          </c:marker>
          <c:cat>
            <c:strRef>
              <c:f>'Metrics Summary'!$F$13:$F$19</c:f>
              <c:strCache>
                <c:ptCount val="0"/>
              </c:strCache>
            </c:strRef>
          </c:cat>
          <c:val>
            <c:numRef>
              <c:f>'Metrics Summary'!$H$13:$H$19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Galaxy</c:v>
          </c:tx>
          <c:marker>
            <c:symbol val="none"/>
          </c:marker>
          <c:cat>
            <c:strRef>
              <c:f>'Metrics Summary'!$F$13:$F$19</c:f>
              <c:strCache>
                <c:ptCount val="0"/>
              </c:strCache>
            </c:strRef>
          </c:cat>
          <c:val>
            <c:numRef>
              <c:f>'Metrics Summary'!$I$13:$I$19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Ocean</c:v>
          </c:tx>
          <c:marker>
            <c:symbol val="none"/>
          </c:marker>
          <c:cat>
            <c:strRef>
              <c:f>'Metrics Summary'!$F$13:$F$19</c:f>
              <c:strCache>
                <c:ptCount val="0"/>
              </c:strCache>
            </c:strRef>
          </c:cat>
          <c:val>
            <c:numRef>
              <c:f>'Metrics Summary'!$J$13:$J$19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Holy</c:v>
          </c:tx>
          <c:marker>
            <c:symbol val="none"/>
          </c:marker>
          <c:cat>
            <c:strRef>
              <c:f>'Metrics Summary'!$F$13:$F$19</c:f>
              <c:strCache>
                <c:ptCount val="0"/>
              </c:strCache>
            </c:strRef>
          </c:cat>
          <c:val>
            <c:numRef>
              <c:f>'Metrics Summary'!$K$13:$K$19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784eeb61a54a7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ticRawTable" displayName="StaticRawTable" ref="A4:S16" headerRowCount="1" totalsRowCount="0" totalsRowShown="0">
  <x:tableColumns count="19">
    <x:tableColumn id="1" name="ExperimentId"/>
    <x:tableColumn id="2" name="GeneratedAtUtc"/>
    <x:tableColumn id="3" name="ProfileId"/>
    <x:tableColumn id="4" name="ProfileIntent"/>
    <x:tableColumn id="5" name="OutputTheme"/>
    <x:tableColumn id="6" name="FallbackUsed"/>
    <x:tableColumn id="7" name="ThemeConfidence"/>
    <x:tableColumn id="8" name="ThemeMargin"/>
    <x:tableColumn id="9" name="Ice"/>
    <x:tableColumn id="10" name="Forest"/>
    <x:tableColumn id="11" name="Galaxy"/>
    <x:tableColumn id="12" name="Ocean"/>
    <x:tableColumn id="13" name="Holy"/>
    <x:tableColumn id="14" name="WeaponTopModule"/>
    <x:tableColumn id="15" name="WeaponAtlasIndex"/>
    <x:tableColumn id="16" name="BossTopModule"/>
    <x:tableColumn id="17" name="BossAtlasIndex"/>
    <x:tableColumn id="18" name="RegionTopModule"/>
    <x:tableColumn id="19" name="RegionAtlasIn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ynamicRawTable" displayName="DynamicRawTable" ref="A4:Y11" headerRowCount="1" totalsRowCount="0" totalsRowShown="0">
  <x:tableColumns count="25">
    <x:tableColumn id="1" name="ExperimentId"/>
    <x:tableColumn id="2" name="GeneratedAtUtc"/>
    <x:tableColumn id="3" name="TrajectoryId"/>
    <x:tableColumn id="4" name="NodeId"/>
    <x:tableColumn id="5" name="Day"/>
    <x:tableColumn id="6" name="ExpectedTheme"/>
    <x:tableColumn id="7" name="OutputTheme"/>
    <x:tableColumn id="8" name="ExpectedDirection"/>
    <x:tableColumn id="9" name="IsTransitionNode"/>
    <x:tableColumn id="10" name="FallbackUsed"/>
    <x:tableColumn id="11" name="ThemeConfidence"/>
    <x:tableColumn id="12" name="ThemeMargin"/>
    <x:tableColumn id="13" name="RawIce"/>
    <x:tableColumn id="14" name="RawForest"/>
    <x:tableColumn id="15" name="RawGalaxy"/>
    <x:tableColumn id="16" name="RawOcean"/>
    <x:tableColumn id="17" name="RawHoly"/>
    <x:tableColumn id="18" name="SmoothIce"/>
    <x:tableColumn id="19" name="SmoothForest"/>
    <x:tableColumn id="20" name="SmoothGalaxy"/>
    <x:tableColumn id="21" name="SmoothOcean"/>
    <x:tableColumn id="22" name="SmoothHoly"/>
    <x:tableColumn id="23" name="WeaponTopModule"/>
    <x:tableColumn id="24" name="BossTopModule"/>
    <x:tableColumn id="25" name="RegionTopMod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ayRawTable" displayName="DecayRawTable" ref="A4:M29" headerRowCount="1" totalsRowCount="0" totalsRowShown="0">
  <x:tableColumns count="13">
    <x:tableColumn id="1" name="ExperimentId"/>
    <x:tableColumn id="2" name="GeneratedAtUtc"/>
    <x:tableColumn id="3" name="TrajectoryId"/>
    <x:tableColumn id="4" name="NodeId"/>
    <x:tableColumn id="5" name="Day"/>
    <x:tableColumn id="6" name="SignalType"/>
    <x:tableColumn id="7" name="EntityId"/>
    <x:tableColumn id="8" name="PreviousDay"/>
    <x:tableColumn id="9" name="PreviousValue"/>
    <x:tableColumn id="10" name="HalfLifeDays"/>
    <x:tableColumn id="11" name="DecayFactor"/>
    <x:tableColumn id="12" name="ExpectedDecayedValue"/>
    <x:tableColumn id="13" name="ObservedDecayed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icPairwiseTable" displayName="StaticPairwiseTable" ref="A4:K70" headerRowCount="1" totalsRowCount="0" totalsRowShown="0">
  <x:tableColumns count="11">
    <x:tableColumn id="1" name="Pair ID"/>
    <x:tableColumn id="2" name="Profile A"/>
    <x:tableColumn id="3" name="Profile B"/>
    <x:tableColumn id="4" name="Theme A"/>
    <x:tableColumn id="5" name="Theme B"/>
    <x:tableColumn id="6" name="Weapon Same"/>
    <x:tableColumn id="7" name="Boss Same"/>
    <x:tableColumn id="8" name="Region Same"/>
    <x:tableColumn id="9" name="Slot Diversity (Hamming)"/>
    <x:tableColumn id="10" name="Semantic Cosine Similarity"/>
    <x:tableColumn id="11" name="Theme Separation (1 − similarity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822b480a0b40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7ea9c47b1944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0a4ad42a3649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25233ee3a4b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e13cdce6b7774c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26" customHeight="1">
      <x:c r="A1" s="4" t="str">
        <x:v>PCG-VFX Evaluation Dataset</x:v>
      </x:c>
    </x:row>
    <x:row r="2" ht="34" customHeight="1">
      <x:c r="A2" s="8" t="str">
        <x:v>Synthetic-data evaluation workbook. No human-participant data are used.</x:v>
      </x:c>
    </x:row>
    <x:row r="4" ht="35" customHeight="1">
      <x:c r="A4" s="14" t="str">
        <x:v>Workbook sheet</x:v>
      </x:c>
      <x:c r="B4" s="14" t="str">
        <x:v>Purpose</x:v>
      </x:c>
    </x:row>
    <x:row r="5" ht="35" customHeight="1">
      <x:c r="A5" s="17" t="str">
        <x:v>Metrics Summary</x:v>
      </x:c>
      <x:c r="B5" s="17" t="str">
        <x:v>The five thesis-facing metrics. Formula cells calculate directly from the imported CSV sheets.</x:v>
      </x:c>
    </x:row>
    <x:row r="6" ht="35" customHeight="1">
      <x:c r="A6" s="17" t="str">
        <x:v>Static Raw</x:v>
      </x:c>
      <x:c r="B6" s="17" t="str">
        <x:v>One PCG outcome per synthetic player profile: theme vector, selected theme, and three final slot modules.</x:v>
      </x:c>
    </x:row>
    <x:row r="7" ht="35" customHeight="1">
      <x:c r="A7" s="17" t="str">
        <x:v>Static Pairwise</x:v>
      </x:c>
      <x:c r="B7" s="17" t="str">
        <x:v>All player pairs. Theme separation is cosine distance; slot diversity is three-slot Hamming distance.</x:v>
      </x:c>
    </x:row>
    <x:row r="8" ht="35" customHeight="1">
      <x:c r="A8" s="17" t="str">
        <x:v>Dynamic Raw</x:v>
      </x:c>
      <x:c r="B8" s="17" t="str">
        <x:v>Seven dated nodes from one synthetic trajectory, with expected and generated theme outcomes.</x:v>
      </x:c>
    </x:row>
    <x:row r="9" ht="35" customHeight="1">
      <x:c r="A9" s="17" t="str">
        <x:v>Direction Audit</x:v>
      </x:c>
      <x:c r="B9" s="17" t="str">
        <x:v>Only planned transition nodes. It compares the raw semantic-vector change with the designed transition direction.</x:v>
      </x:c>
    </x:row>
    <x:row r="10" ht="35" customHeight="1">
      <x:c r="A10" s="17" t="str">
        <x:v>Decay Raw</x:v>
      </x:c>
      <x:c r="B10" s="17" t="str">
        <x:v>Per-signal decay audit. Absolute error compares observed values with the exponential-decay expectation.</x:v>
      </x:c>
    </x:row>
    <x:row r="11" ht="35" customHeight="1">
      <x:c r="A11" s="18"/>
      <x:c r="B11" s="18"/>
    </x:row>
    <x:row r="12" ht="35" customHeight="1">
      <x:c r="A12" s="14" t="str">
        <x:v>Metric</x:v>
      </x:c>
      <x:c r="B12" s="14" t="str">
        <x:v>Definition used in this workbook</x:v>
      </x:c>
    </x:row>
    <x:row r="13" ht="35" customHeight="1">
      <x:c r="A13" s="17" t="str">
        <x:v>Theme separation</x:v>
      </x:c>
      <x:c r="B13" s="17" t="str">
        <x:v>Mean pairwise cosine distance between the five-dimensional static semantic vectors. Larger means profiles are more distinguishable.</x:v>
      </x:c>
    </x:row>
    <x:row r="14" ht="35" customHeight="1">
      <x:c r="A14" s="17" t="str">
        <x:v>Slot diversity</x:v>
      </x:c>
      <x:c r="B14" s="17" t="str">
        <x:v>Mean pairwise Hamming distance across the Weapon / Boss / Region final modules (0 = identical, 1 = all three differ).</x:v>
      </x:c>
    </x:row>
    <x:row r="15" ht="35" customHeight="1">
      <x:c r="A15" s="17" t="str">
        <x:v>Trajectory hit rate</x:v>
      </x:c>
      <x:c r="B15" s="17" t="str">
        <x:v>Share of dynamic nodes where OutputTheme equals ExpectedTheme.</x:v>
      </x:c>
    </x:row>
    <x:row r="16" ht="35" customHeight="1">
      <x:c r="A16" s="17" t="str">
        <x:v>Directional consistency</x:v>
      </x:c>
      <x:c r="B16" s="17" t="str">
        <x:v>Cosine similarity between an observed raw semantic change and the planned transition vector; reported for transition nodes only.</x:v>
      </x:c>
    </x:row>
    <x:row r="17" ht="35" customHeight="1">
      <x:c r="A17" s="17" t="str">
        <x:v>Decay correctness (MAE)</x:v>
      </x:c>
      <x:c r="B17" s="17" t="str">
        <x:v>Mean absolute error between expected and observed decayed signal values. Lower is better; a value of 0 means exact decay.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6" customHeight="1">
      <x:c r="A1" s="4" t="str">
        <x:v>Static evaluation outcomes</x:v>
      </x:c>
    </x:row>
    <x:row r="2" ht="34" customHeight="1">
      <x:c r="A2" s="8" t="str">
        <x:v>Imported from StaticResults.csv: 12 synthetic player profiles; reproducible seed series begins at 7001.</x:v>
      </x:c>
    </x:row>
    <x:row r="4">
      <x:c r="A4" s="14" t="str">
        <x:v>ExperimentId</x:v>
      </x:c>
      <x:c r="B4" s="14" t="str">
        <x:v>GeneratedAtUtc</x:v>
      </x:c>
      <x:c r="C4" s="14" t="str">
        <x:v>ProfileId</x:v>
      </x:c>
      <x:c r="D4" s="14" t="str">
        <x:v>ProfileIntent</x:v>
      </x:c>
      <x:c r="E4" s="14" t="str">
        <x:v>OutputTheme</x:v>
      </x:c>
      <x:c r="F4" s="14" t="str">
        <x:v>FallbackUsed</x:v>
      </x:c>
      <x:c r="G4" s="14" t="str">
        <x:v>ThemeConfidence</x:v>
      </x:c>
      <x:c r="H4" s="14" t="str">
        <x:v>ThemeMargin</x:v>
      </x:c>
      <x:c r="I4" s="14" t="str">
        <x:v>Ice</x:v>
      </x:c>
      <x:c r="J4" s="14" t="str">
        <x:v>Forest</x:v>
      </x:c>
      <x:c r="K4" s="14" t="str">
        <x:v>Galaxy</x:v>
      </x:c>
      <x:c r="L4" s="14" t="str">
        <x:v>Ocean</x:v>
      </x:c>
      <x:c r="M4" s="14" t="str">
        <x:v>Holy</x:v>
      </x:c>
      <x:c r="N4" s="14" t="str">
        <x:v>WeaponTopModule</x:v>
      </x:c>
      <x:c r="O4" s="14" t="str">
        <x:v>WeaponAtlasIndex</x:v>
      </x:c>
      <x:c r="P4" s="14" t="str">
        <x:v>BossTopModule</x:v>
      </x:c>
      <x:c r="Q4" s="14" t="str">
        <x:v>BossAtlasIndex</x:v>
      </x:c>
      <x:c r="R4" s="14" t="str">
        <x:v>RegionTopModule</x:v>
      </x:c>
      <x:c r="S4" s="14" t="str">
        <x:v>RegionAtlasIndex</x:v>
      </x:c>
    </x:row>
    <x:row r="5">
      <x:c r="A5" s="16" t="str">
        <x:v>PCG_VFX_Evaluation_20260814_191100</x:v>
      </x:c>
      <x:c r="B5" s="16" t="n">
        <x:v>46248.79931439815</x:v>
      </x:c>
      <x:c r="C5" s="16" t="str">
        <x:v>Player_01</x:v>
      </x:c>
      <x:c r="D5" s="16" t="str">
        <x:v>clear_bow_ice_snowfield</x:v>
      </x:c>
      <x:c r="E5" s="16" t="str">
        <x:v>Ice</x:v>
      </x:c>
      <x:c r="F5" s="16" t="str">
        <x:v>FALSE</x:v>
      </x:c>
      <x:c r="G5" s="19" t="n">
        <x:v>0.678257</x:v>
      </x:c>
      <x:c r="H5" s="19" t="n">
        <x:v>0.49601</x:v>
      </x:c>
      <x:c r="I5" s="19" t="n">
        <x:v>0.678257</x:v>
      </x:c>
      <x:c r="J5" s="19" t="n">
        <x:v>0.065177</x:v>
      </x:c>
      <x:c r="K5" s="19" t="n">
        <x:v>0.003531</x:v>
      </x:c>
      <x:c r="L5" s="19" t="n">
        <x:v>0.182247</x:v>
      </x:c>
      <x:c r="M5" s="19" t="n">
        <x:v>0.14412</x:v>
      </x:c>
      <x:c r="N5" s="19" t="str">
        <x:v>Weapon_Bow</x:v>
      </x:c>
      <x:c r="O5" s="19" t="n">
        <x:v>1</x:v>
      </x:c>
      <x:c r="P5" s="19" t="str">
        <x:v>Boss_IceDragon</x:v>
      </x:c>
      <x:c r="Q5" s="19" t="n">
        <x:v>0</x:v>
      </x:c>
      <x:c r="R5" s="19" t="str">
        <x:v>Region_SnowfieldRuins</x:v>
      </x:c>
      <x:c r="S5" s="19" t="n">
        <x:v>0</x:v>
      </x:c>
    </x:row>
    <x:row r="6">
      <x:c r="A6" s="16" t="str">
        <x:v>PCG_VFX_Evaluation_20260814_191100</x:v>
      </x:c>
      <x:c r="B6" s="16" t="n">
        <x:v>46248.79931439815</x:v>
      </x:c>
      <x:c r="C6" s="16" t="str">
        <x:v>Player_02</x:v>
      </x:c>
      <x:c r="D6" s="16" t="str">
        <x:v>clear_axe_star_sky</x:v>
      </x:c>
      <x:c r="E6" s="16" t="str">
        <x:v>Galaxy</x:v>
      </x:c>
      <x:c r="F6" s="16" t="str">
        <x:v>FALSE</x:v>
      </x:c>
      <x:c r="G6" s="19" t="n">
        <x:v>0.70787</x:v>
      </x:c>
      <x:c r="H6" s="19" t="n">
        <x:v>0.565711</x:v>
      </x:c>
      <x:c r="I6" s="19" t="n">
        <x:v>0.027082</x:v>
      </x:c>
      <x:c r="J6" s="19" t="n">
        <x:v>0.134171</x:v>
      </x:c>
      <x:c r="K6" s="19" t="n">
        <x:v>0.70787</x:v>
      </x:c>
      <x:c r="L6" s="19" t="n">
        <x:v>0.0225</x:v>
      </x:c>
      <x:c r="M6" s="19" t="n">
        <x:v>0.142159</x:v>
      </x:c>
      <x:c r="N6" s="19" t="str">
        <x:v>Weapon_Axe</x:v>
      </x:c>
      <x:c r="O6" s="19" t="n">
        <x:v>2</x:v>
      </x:c>
      <x:c r="P6" s="19" t="str">
        <x:v>Boss_StarGiant</x:v>
      </x:c>
      <x:c r="Q6" s="19" t="n">
        <x:v>3</x:v>
      </x:c>
      <x:c r="R6" s="19" t="str">
        <x:v>Region_SkyRuins</x:v>
      </x:c>
      <x:c r="S6" s="19" t="n">
        <x:v>3</x:v>
      </x:c>
    </x:row>
    <x:row r="7">
      <x:c r="A7" s="16" t="str">
        <x:v>PCG_VFX_Evaluation_20260814_191100</x:v>
      </x:c>
      <x:c r="B7" s="16" t="n">
        <x:v>46248.79931439815</x:v>
      </x:c>
      <x:c r="C7" s="16" t="str">
        <x:v>Player_03</x:v>
      </x:c>
      <x:c r="D7" s="16" t="str">
        <x:v>clear_staff_cult_monastery</x:v>
      </x:c>
      <x:c r="E7" s="16" t="str">
        <x:v>Holy</x:v>
      </x:c>
      <x:c r="F7" s="16" t="str">
        <x:v>FALSE</x:v>
      </x:c>
      <x:c r="G7" s="19" t="n">
        <x:v>0.599663</x:v>
      </x:c>
      <x:c r="H7" s="19" t="n">
        <x:v>0.399913</x:v>
      </x:c>
      <x:c r="I7" s="19" t="n">
        <x:v>0.19975</x:v>
      </x:c>
      <x:c r="J7" s="19" t="n">
        <x:v>0.05881</x:v>
      </x:c>
      <x:c r="K7" s="19" t="n">
        <x:v>0.159335</x:v>
      </x:c>
      <x:c r="L7" s="19" t="n">
        <x:v>0.129849</x:v>
      </x:c>
      <x:c r="M7" s="19" t="n">
        <x:v>0.599663</x:v>
      </x:c>
      <x:c r="N7" s="19" t="str">
        <x:v>Weapon_Staff</x:v>
      </x:c>
      <x:c r="O7" s="19" t="n">
        <x:v>3</x:v>
      </x:c>
      <x:c r="P7" s="19" t="str">
        <x:v>Boss_IceDragon</x:v>
      </x:c>
      <x:c r="Q7" s="19" t="n">
        <x:v>0</x:v>
      </x:c>
      <x:c r="R7" s="19" t="str">
        <x:v>Region_MonasteryRuins</x:v>
      </x:c>
      <x:c r="S7" s="19" t="n">
        <x:v>4</x:v>
      </x:c>
    </x:row>
    <x:row r="8">
      <x:c r="A8" s="16" t="str">
        <x:v>PCG_VFX_Evaluation_20260814_191100</x:v>
      </x:c>
      <x:c r="B8" s="16" t="n">
        <x:v>46248.79931439815</x:v>
      </x:c>
      <x:c r="C8" s="16" t="str">
        <x:v>Player_04</x:v>
      </x:c>
      <x:c r="D8" s="16" t="str">
        <x:v>mixed_bow_sword_regions_close</x:v>
      </x:c>
      <x:c r="E8" s="16" t="str">
        <x:v>Neutral</x:v>
      </x:c>
      <x:c r="F8" s="16" t="str">
        <x:v>TRUE</x:v>
      </x:c>
      <x:c r="G8" s="19" t="n">
        <x:v>0.330623</x:v>
      </x:c>
      <x:c r="H8" s="19" t="n">
        <x:v>0.001478</x:v>
      </x:c>
      <x:c r="I8" s="19" t="n">
        <x:v>0.330623</x:v>
      </x:c>
      <x:c r="J8" s="19" t="n">
        <x:v>0.329145</x:v>
      </x:c>
      <x:c r="K8" s="19" t="n">
        <x:v>0.181816</x:v>
      </x:c>
      <x:c r="L8" s="19" t="n">
        <x:v>0.037011</x:v>
      </x:c>
      <x:c r="M8" s="19" t="n">
        <x:v>0.123185</x:v>
      </x:c>
      <x:c r="N8" s="19" t="str">
        <x:v>Weapon_Sword</x:v>
      </x:c>
      <x:c r="O8" s="19" t="n">
        <x:v>0</x:v>
      </x:c>
      <x:c r="P8" s="19" t="str">
        <x:v>Boss_StarGiant</x:v>
      </x:c>
      <x:c r="Q8" s="19" t="n">
        <x:v>3</x:v>
      </x:c>
      <x:c r="R8" s="19" t="str">
        <x:v>Region_ForestRuins</x:v>
      </x:c>
      <x:c r="S8" s="19" t="n">
        <x:v>1</x:v>
      </x:c>
    </x:row>
    <x:row r="9">
      <x:c r="A9" s="16" t="str">
        <x:v>PCG_VFX_Evaluation_20260814_191100</x:v>
      </x:c>
      <x:c r="B9" s="16" t="n">
        <x:v>46248.79931439815</x:v>
      </x:c>
      <x:c r="C9" s="16" t="str">
        <x:v>Player_05</x:v>
      </x:c>
      <x:c r="D9" s="16" t="str">
        <x:v>region_079_boundary_no_region_candidate</x:v>
      </x:c>
      <x:c r="E9" s="16" t="str">
        <x:v>Neutral</x:v>
      </x:c>
      <x:c r="F9" s="16" t="str">
        <x:v>TRUE</x:v>
      </x:c>
      <x:c r="G9" s="19" t="n">
        <x:v>0.373333</x:v>
      </x:c>
      <x:c r="H9" s="19" t="n">
        <x:v>0.361</x:v>
      </x:c>
      <x:c r="I9" s="19" t="n">
        <x:v>0.003197</x:v>
      </x:c>
      <x:c r="J9" s="19" t="n">
        <x:v>0.373333</x:v>
      </x:c>
      <x:c r="K9" s="19" t="n">
        <x:v>0.006602</x:v>
      </x:c>
      <x:c r="L9" s="19" t="n">
        <x:v>0</x:v>
      </x:c>
      <x:c r="M9" s="19" t="n">
        <x:v>0.012333</x:v>
      </x:c>
      <x:c r="N9" s="19" t="str">
        <x:v>Weapon_Dagger</x:v>
      </x:c>
      <x:c r="O9" s="19" t="n">
        <x:v>4</x:v>
      </x:c>
      <x:c r="P9" s="19" t="str">
        <x:v>Boss_Goblin</x:v>
      </x:c>
      <x:c r="Q9" s="19" t="n">
        <x:v>1</x:v>
      </x:c>
      <x:c r="R9" s="19" t="str"/>
      <x:c r="S9" s="19" t="n">
        <x:v>-1</x:v>
      </x:c>
    </x:row>
    <x:row r="10">
      <x:c r="A10" s="16" t="str">
        <x:v>PCG_VFX_Evaluation_20260814_191100</x:v>
      </x:c>
      <x:c r="B10" s="16" t="n">
        <x:v>46248.79931439815</x:v>
      </x:c>
      <x:c r="C10" s="16" t="str">
        <x:v>Player_06</x:v>
      </x:c>
      <x:c r="D10" s="16" t="str">
        <x:v>region_080_boundary_exact_candidate</x:v>
      </x:c>
      <x:c r="E10" s="16" t="str">
        <x:v>Ocean</x:v>
      </x:c>
      <x:c r="F10" s="16" t="str">
        <x:v>FALSE</x:v>
      </x:c>
      <x:c r="G10" s="19" t="n">
        <x:v>0.616137</x:v>
      </x:c>
      <x:c r="H10" s="19" t="n">
        <x:v>0.420872</x:v>
      </x:c>
      <x:c r="I10" s="19" t="n">
        <x:v>0.040672</x:v>
      </x:c>
      <x:c r="J10" s="19" t="n">
        <x:v>0.195266</x:v>
      </x:c>
      <x:c r="K10" s="19" t="n">
        <x:v>0.015696</x:v>
      </x:c>
      <x:c r="L10" s="19" t="n">
        <x:v>0.616137</x:v>
      </x:c>
      <x:c r="M10" s="19" t="n">
        <x:v>0.098361</x:v>
      </x:c>
      <x:c r="N10" s="19" t="str">
        <x:v>Weapon_Staff</x:v>
      </x:c>
      <x:c r="O10" s="19" t="n">
        <x:v>3</x:v>
      </x:c>
      <x:c r="P10" s="19" t="str">
        <x:v>Boss_SeaTurtle</x:v>
      </x:c>
      <x:c r="Q10" s="19" t="n">
        <x:v>2</x:v>
      </x:c>
      <x:c r="R10" s="19" t="str">
        <x:v>Region_OceanRuins</x:v>
      </x:c>
      <x:c r="S10" s="19" t="n">
        <x:v>2</x:v>
      </x:c>
    </x:row>
    <x:row r="11">
      <x:c r="A11" s="16" t="str">
        <x:v>PCG_VFX_Evaluation_20260814_191100</x:v>
      </x:c>
      <x:c r="B11" s="16" t="n">
        <x:v>46248.79931439815</x:v>
      </x:c>
      <x:c r="C11" s="16" t="str">
        <x:v>Player_07</x:v>
      </x:c>
      <x:c r="D11" s="16" t="str">
        <x:v>region_081_boundary_above_candidate</x:v>
      </x:c>
      <x:c r="E11" s="16" t="str">
        <x:v>Galaxy</x:v>
      </x:c>
      <x:c r="F11" s="16" t="str">
        <x:v>FALSE</x:v>
      </x:c>
      <x:c r="G11" s="19" t="n">
        <x:v>0.626254</x:v>
      </x:c>
      <x:c r="H11" s="19" t="n">
        <x:v>0.401835</x:v>
      </x:c>
      <x:c r="I11" s="19" t="n">
        <x:v>0.224419</x:v>
      </x:c>
      <x:c r="J11" s="19" t="n">
        <x:v>0.023152</x:v>
      </x:c>
      <x:c r="K11" s="19" t="n">
        <x:v>0.626254</x:v>
      </x:c>
      <x:c r="L11" s="19" t="n">
        <x:v>0.045725</x:v>
      </x:c>
      <x:c r="M11" s="19" t="n">
        <x:v>0.182969</x:v>
      </x:c>
      <x:c r="N11" s="19" t="str">
        <x:v>Weapon_Hammer</x:v>
      </x:c>
      <x:c r="O11" s="19" t="n">
        <x:v>5</x:v>
      </x:c>
      <x:c r="P11" s="19" t="str">
        <x:v>Boss_IceDragon</x:v>
      </x:c>
      <x:c r="Q11" s="19" t="n">
        <x:v>0</x:v>
      </x:c>
      <x:c r="R11" s="19" t="str">
        <x:v>Region_SkyRuins</x:v>
      </x:c>
      <x:c r="S11" s="19" t="n">
        <x:v>3</x:v>
      </x:c>
    </x:row>
    <x:row r="12">
      <x:c r="A12" s="16" t="str">
        <x:v>PCG_VFX_Evaluation_20260814_191100</x:v>
      </x:c>
      <x:c r="B12" s="16" t="n">
        <x:v>46248.79931439815</x:v>
      </x:c>
      <x:c r="C12" s="16" t="str">
        <x:v>Player_08</x:v>
      </x:c>
      <x:c r="D12" s="16" t="str">
        <x:v>forest_boundary_with_valid_boss</x:v>
      </x:c>
      <x:c r="E12" s="16" t="str">
        <x:v>Forest</x:v>
      </x:c>
      <x:c r="F12" s="16" t="str">
        <x:v>FALSE</x:v>
      </x:c>
      <x:c r="G12" s="19" t="n">
        <x:v>0.580774</x:v>
      </x:c>
      <x:c r="H12" s="19" t="n">
        <x:v>0.379542</x:v>
      </x:c>
      <x:c r="I12" s="19" t="n">
        <x:v>0.201232</x:v>
      </x:c>
      <x:c r="J12" s="19" t="n">
        <x:v>0.580774</x:v>
      </x:c>
      <x:c r="K12" s="19" t="n">
        <x:v>0.007799</x:v>
      </x:c>
      <x:c r="L12" s="19" t="n">
        <x:v>0.0225</x:v>
      </x:c>
      <x:c r="M12" s="19" t="n">
        <x:v>0.069049</x:v>
      </x:c>
      <x:c r="N12" s="19" t="str">
        <x:v>Weapon_Sword</x:v>
      </x:c>
      <x:c r="O12" s="19" t="n">
        <x:v>0</x:v>
      </x:c>
      <x:c r="P12" s="19" t="str">
        <x:v>Boss_Goblin</x:v>
      </x:c>
      <x:c r="Q12" s="19" t="n">
        <x:v>1</x:v>
      </x:c>
      <x:c r="R12" s="19" t="str">
        <x:v>Region_ForestRuins</x:v>
      </x:c>
      <x:c r="S12" s="19" t="n">
        <x:v>1</x:v>
      </x:c>
    </x:row>
    <x:row r="13">
      <x:c r="A13" s="16" t="str">
        <x:v>PCG_VFX_Evaluation_20260814_191100</x:v>
      </x:c>
      <x:c r="B13" s="16" t="n">
        <x:v>46248.79931439815</x:v>
      </x:c>
      <x:c r="C13" s="16" t="str">
        <x:v>Player_09</x:v>
      </x:c>
      <x:c r="D13" s="16" t="str">
        <x:v>no_valid_region_candidate</x:v>
      </x:c>
      <x:c r="E13" s="16" t="str">
        <x:v>Neutral</x:v>
      </x:c>
      <x:c r="F13" s="16" t="str">
        <x:v>TRUE</x:v>
      </x:c>
      <x:c r="G13" s="19" t="n">
        <x:v>0.235963</x:v>
      </x:c>
      <x:c r="H13" s="19" t="n">
        <x:v>0.052497</x:v>
      </x:c>
      <x:c r="I13" s="19" t="n">
        <x:v>0.183466</x:v>
      </x:c>
      <x:c r="J13" s="19" t="n">
        <x:v>0.030655</x:v>
      </x:c>
      <x:c r="K13" s="19" t="n">
        <x:v>0.235963</x:v>
      </x:c>
      <x:c r="L13" s="19" t="n">
        <x:v>0.020995</x:v>
      </x:c>
      <x:c r="M13" s="19" t="n">
        <x:v>0.086984</x:v>
      </x:c>
      <x:c r="N13" s="19" t="str">
        <x:v>Weapon_Axe</x:v>
      </x:c>
      <x:c r="O13" s="19" t="n">
        <x:v>2</x:v>
      </x:c>
      <x:c r="P13" s="19" t="str">
        <x:v>Boss_StarGiant</x:v>
      </x:c>
      <x:c r="Q13" s="19" t="n">
        <x:v>3</x:v>
      </x:c>
      <x:c r="R13" s="19" t="str"/>
      <x:c r="S13" s="19" t="n">
        <x:v>-1</x:v>
      </x:c>
    </x:row>
    <x:row r="14">
      <x:c r="A14" s="16" t="str">
        <x:v>PCG_VFX_Evaluation_20260814_191100</x:v>
      </x:c>
      <x:c r="B14" s="16" t="n">
        <x:v>46248.79931439815</x:v>
      </x:c>
      <x:c r="C14" s="16" t="str">
        <x:v>Player_10</x:v>
      </x:c>
      <x:c r="D14" s="16" t="str">
        <x:v>all_weapons_equal</x:v>
      </x:c>
      <x:c r="E14" s="16" t="str">
        <x:v>Neutral</x:v>
      </x:c>
      <x:c r="F14" s="16" t="str">
        <x:v>TRUE</x:v>
      </x:c>
      <x:c r="G14" s="19" t="n">
        <x:v>0.336515</x:v>
      </x:c>
      <x:c r="H14" s="19" t="n">
        <x:v>0.051194</x:v>
      </x:c>
      <x:c r="I14" s="19" t="n">
        <x:v>0.336515</x:v>
      </x:c>
      <x:c r="J14" s="19" t="n">
        <x:v>0.125677</x:v>
      </x:c>
      <x:c r="K14" s="19" t="n">
        <x:v>0.110079</x:v>
      </x:c>
      <x:c r="L14" s="19" t="n">
        <x:v>0.285322</x:v>
      </x:c>
      <x:c r="M14" s="19" t="n">
        <x:v>0.211242</x:v>
      </x:c>
      <x:c r="N14" s="19" t="str">
        <x:v>Weapon_Sword</x:v>
      </x:c>
      <x:c r="O14" s="19" t="n">
        <x:v>0</x:v>
      </x:c>
      <x:c r="P14" s="19" t="str">
        <x:v>Boss_IceDragon</x:v>
      </x:c>
      <x:c r="Q14" s="19" t="n">
        <x:v>0</x:v>
      </x:c>
      <x:c r="R14" s="19" t="str">
        <x:v>Region_OceanRuins</x:v>
      </x:c>
      <x:c r="S14" s="19" t="n">
        <x:v>2</x:v>
      </x:c>
    </x:row>
    <x:row r="15">
      <x:c r="A15" s="16" t="str">
        <x:v>PCG_VFX_Evaluation_20260814_191100</x:v>
      </x:c>
      <x:c r="B15" s="16" t="n">
        <x:v>46248.79931439815</x:v>
      </x:c>
      <x:c r="C15" s="16" t="str">
        <x:v>Player_11</x:v>
      </x:c>
      <x:c r="D15" s="16" t="str">
        <x:v>balanced_dagger_forest_candidate</x:v>
      </x:c>
      <x:c r="E15" s="16" t="str">
        <x:v>Forest</x:v>
      </x:c>
      <x:c r="F15" s="16" t="str">
        <x:v>FALSE</x:v>
      </x:c>
      <x:c r="G15" s="19" t="n">
        <x:v>0.594482</x:v>
      </x:c>
      <x:c r="H15" s="19" t="n">
        <x:v>0.350974</x:v>
      </x:c>
      <x:c r="I15" s="19" t="n">
        <x:v>0.016538</x:v>
      </x:c>
      <x:c r="J15" s="19" t="n">
        <x:v>0.594482</x:v>
      </x:c>
      <x:c r="K15" s="19" t="n">
        <x:v>0.012729</x:v>
      </x:c>
      <x:c r="L15" s="19" t="n">
        <x:v>0.243508</x:v>
      </x:c>
      <x:c r="M15" s="19" t="n">
        <x:v>0.073477</x:v>
      </x:c>
      <x:c r="N15" s="19" t="str">
        <x:v>Weapon_Dagger</x:v>
      </x:c>
      <x:c r="O15" s="19" t="n">
        <x:v>4</x:v>
      </x:c>
      <x:c r="P15" s="19" t="str">
        <x:v>Boss_SeaTurtle</x:v>
      </x:c>
      <x:c r="Q15" s="19" t="n">
        <x:v>2</x:v>
      </x:c>
      <x:c r="R15" s="19" t="str">
        <x:v>Region_ForestRuins</x:v>
      </x:c>
      <x:c r="S15" s="19" t="n">
        <x:v>1</x:v>
      </x:c>
    </x:row>
    <x:row r="16">
      <x:c r="A16" s="16" t="str">
        <x:v>PCG_VFX_Evaluation_20260814_191100</x:v>
      </x:c>
      <x:c r="B16" s="16" t="n">
        <x:v>46248.79931439815</x:v>
      </x:c>
      <x:c r="C16" s="16" t="str">
        <x:v>Player_12</x:v>
      </x:c>
      <x:c r="D16" s="16" t="str">
        <x:v>low_progression_no_region</x:v>
      </x:c>
      <x:c r="E16" s="16" t="str">
        <x:v>Neutral</x:v>
      </x:c>
      <x:c r="F16" s="16" t="str">
        <x:v>TRUE</x:v>
      </x:c>
      <x:c r="G16" s="19" t="n">
        <x:v>0.376256</x:v>
      </x:c>
      <x:c r="H16" s="19" t="n">
        <x:v>0.367592</x:v>
      </x:c>
      <x:c r="I16" s="19" t="n">
        <x:v>0.004221</x:v>
      </x:c>
      <x:c r="J16" s="19" t="n">
        <x:v>0.376256</x:v>
      </x:c>
      <x:c r="K16" s="19" t="n">
        <x:v>0.000779</x:v>
      </x:c>
      <x:c r="L16" s="19" t="n">
        <x:v>0</x:v>
      </x:c>
      <x:c r="M16" s="19" t="n">
        <x:v>0.008664</x:v>
      </x:c>
      <x:c r="N16" s="19" t="str">
        <x:v>Weapon_Sword</x:v>
      </x:c>
      <x:c r="O16" s="19" t="n">
        <x:v>0</x:v>
      </x:c>
      <x:c r="P16" s="19" t="str">
        <x:v>Boss_Goblin</x:v>
      </x:c>
      <x:c r="Q16" s="19" t="n">
        <x:v>1</x:v>
      </x:c>
      <x:c r="R16" s="19" t="str"/>
      <x:c r="S16" s="19" t="n">
        <x:v>-1</x:v>
      </x:c>
    </x:row>
    <x:row r="17">
      <x:c r="G17" s="20"/>
      <x:c r="H17" s="20"/>
      <x:c r="I17" s="20"/>
      <x:c r="J17" s="20"/>
      <x:c r="K17" s="20"/>
      <x:c r="L17" s="20"/>
      <x:c r="M17" s="20"/>
    </x:row>
    <x:row r="18">
      <x:c r="G18" s="20"/>
      <x:c r="H18" s="20"/>
      <x:c r="I18" s="20"/>
      <x:c r="J18" s="20"/>
      <x:c r="K18" s="20"/>
      <x:c r="L18" s="20"/>
      <x:c r="M18" s="20"/>
    </x:row>
    <x:row r="19">
      <x:c r="G19" s="20"/>
      <x:c r="H19" s="20"/>
      <x:c r="I19" s="20"/>
      <x:c r="J19" s="20"/>
      <x:c r="K19" s="20"/>
      <x:c r="L19" s="20"/>
      <x:c r="M19" s="20"/>
    </x:row>
    <x:row r="20">
      <x:c r="G20" s="20"/>
      <x:c r="H20" s="20"/>
      <x:c r="I20" s="20"/>
      <x:c r="J20" s="20"/>
      <x:c r="K20" s="20"/>
      <x:c r="L20" s="20"/>
      <x:c r="M20" s="20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10822b480a0b40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26" customHeight="1">
      <x:c r="A1" s="4" t="str">
        <x:v>Dynamic trajectory outcomes</x:v>
      </x:c>
    </x:row>
    <x:row r="2" ht="34" customHeight="1">
      <x:c r="A2" s="8" t="str">
        <x:v>Imported from DynamicResults.csv: 7 dated nodes for one designed synthetic trajectory; reproducible seed base 8001.</x:v>
      </x:c>
    </x:row>
    <x:row r="4">
      <x:c r="A4" s="14" t="str">
        <x:v>ExperimentId</x:v>
      </x:c>
      <x:c r="B4" s="14" t="str">
        <x:v>GeneratedAtUtc</x:v>
      </x:c>
      <x:c r="C4" s="14" t="str">
        <x:v>TrajectoryId</x:v>
      </x:c>
      <x:c r="D4" s="14" t="str">
        <x:v>NodeId</x:v>
      </x:c>
      <x:c r="E4" s="14" t="str">
        <x:v>Day</x:v>
      </x:c>
      <x:c r="F4" s="14" t="str">
        <x:v>ExpectedTheme</x:v>
      </x:c>
      <x:c r="G4" s="14" t="str">
        <x:v>OutputTheme</x:v>
      </x:c>
      <x:c r="H4" s="14" t="str">
        <x:v>ExpectedDirection</x:v>
      </x:c>
      <x:c r="I4" s="14" t="str">
        <x:v>IsTransitionNode</x:v>
      </x:c>
      <x:c r="J4" s="14" t="str">
        <x:v>FallbackUsed</x:v>
      </x:c>
      <x:c r="K4" s="14" t="str">
        <x:v>ThemeConfidence</x:v>
      </x:c>
      <x:c r="L4" s="14" t="str">
        <x:v>ThemeMargin</x:v>
      </x:c>
      <x:c r="M4" s="14" t="str">
        <x:v>RawIce</x:v>
      </x:c>
      <x:c r="N4" s="14" t="str">
        <x:v>RawForest</x:v>
      </x:c>
      <x:c r="O4" s="14" t="str">
        <x:v>RawGalaxy</x:v>
      </x:c>
      <x:c r="P4" s="14" t="str">
        <x:v>RawOcean</x:v>
      </x:c>
      <x:c r="Q4" s="14" t="str">
        <x:v>RawHoly</x:v>
      </x:c>
      <x:c r="R4" s="14" t="str">
        <x:v>SmoothIce</x:v>
      </x:c>
      <x:c r="S4" s="14" t="str">
        <x:v>SmoothForest</x:v>
      </x:c>
      <x:c r="T4" s="14" t="str">
        <x:v>SmoothGalaxy</x:v>
      </x:c>
      <x:c r="U4" s="14" t="str">
        <x:v>SmoothOcean</x:v>
      </x:c>
      <x:c r="V4" s="14" t="str">
        <x:v>SmoothHoly</x:v>
      </x:c>
      <x:c r="W4" s="14" t="str">
        <x:v>WeaponTopModule</x:v>
      </x:c>
      <x:c r="X4" s="14" t="str">
        <x:v>BossTopModule</x:v>
      </x:c>
      <x:c r="Y4" s="14" t="str">
        <x:v>RegionTopModule</x:v>
      </x:c>
      <x:c r="Z4" s="14" t="str">
        <x:v>Theme Hit (1/0)</x:v>
      </x:c>
    </x:row>
    <x:row r="5">
      <x:c r="A5" s="16" t="str">
        <x:v>PCG_VFX_Evaluation_20260814_191100</x:v>
      </x:c>
      <x:c r="B5" s="16" t="n">
        <x:v>46248.79931439815</x:v>
      </x:c>
      <x:c r="C5" s="16" t="str">
        <x:v>Dynamic_Player_01_Ice_To_Forest_Ocean_Ice</x:v>
      </x:c>
      <x:c r="D5" s="16" t="str">
        <x:v>Day01_IceBaseline</x:v>
      </x:c>
      <x:c r="E5" s="19" t="n">
        <x:v>1</x:v>
      </x:c>
      <x:c r="F5" s="19" t="str">
        <x:v>Ice</x:v>
      </x:c>
      <x:c r="G5" s="19" t="str">
        <x:v>Ice</x:v>
      </x:c>
      <x:c r="H5" s="19" t="str">
        <x:v>InitialState</x:v>
      </x:c>
      <x:c r="I5" s="19" t="str">
        <x:v>FALSE</x:v>
      </x:c>
      <x:c r="J5" s="19" t="str">
        <x:v>FALSE</x:v>
      </x:c>
      <x:c r="K5" s="19" t="n">
        <x:v>0.731643</x:v>
      </x:c>
      <x:c r="L5" s="19" t="n">
        <x:v>0.578462</x:v>
      </x:c>
      <x:c r="M5" s="19" t="n">
        <x:v>0.731643</x:v>
      </x:c>
      <x:c r="N5" s="19" t="n">
        <x:v>0.01892</x:v>
      </x:c>
      <x:c r="O5" s="19" t="n">
        <x:v>0</x:v>
      </x:c>
      <x:c r="P5" s="19" t="n">
        <x:v>0.06034</x:v>
      </x:c>
      <x:c r="Q5" s="19" t="n">
        <x:v>0.153181</x:v>
      </x:c>
      <x:c r="R5" s="19" t="n">
        <x:v>0.731643</x:v>
      </x:c>
      <x:c r="S5" s="19" t="n">
        <x:v>0.01892</x:v>
      </x:c>
      <x:c r="T5" s="19" t="n">
        <x:v>0</x:v>
      </x:c>
      <x:c r="U5" s="19" t="n">
        <x:v>0.06034</x:v>
      </x:c>
      <x:c r="V5" s="19" t="n">
        <x:v>0.153181</x:v>
      </x:c>
      <x:c r="W5" s="19" t="str">
        <x:v>Weapon_Sword</x:v>
      </x:c>
      <x:c r="X5" s="19" t="str">
        <x:v>Boss_IceDragon</x:v>
      </x:c>
      <x:c r="Y5" s="19" t="str">
        <x:v>Region_SnowfieldRuins</x:v>
      </x:c>
      <x:c r="Z5" s="21" t="n">
        <x:f>IF(G5=F5,1,0)</x:f>
        <x:v>1</x:v>
      </x:c>
    </x:row>
    <x:row r="6">
      <x:c r="A6" s="16" t="str">
        <x:v>PCG_VFX_Evaluation_20260814_191100</x:v>
      </x:c>
      <x:c r="B6" s="16" t="n">
        <x:v>46248.79931439815</x:v>
      </x:c>
      <x:c r="C6" s="16" t="str">
        <x:v>Dynamic_Player_01_Ice_To_Forest_Ocean_Ice</x:v>
      </x:c>
      <x:c r="D6" s="16" t="str">
        <x:v>Day04_IceSettled</x:v>
      </x:c>
      <x:c r="E6" s="19" t="n">
        <x:v>4</x:v>
      </x:c>
      <x:c r="F6" s="19" t="str">
        <x:v>Ice</x:v>
      </x:c>
      <x:c r="G6" s="19" t="str">
        <x:v>Ice</x:v>
      </x:c>
      <x:c r="H6" s="19" t="str">
        <x:v>MaintainIce</x:v>
      </x:c>
      <x:c r="I6" s="19" t="str">
        <x:v>FALSE</x:v>
      </x:c>
      <x:c r="J6" s="19" t="str">
        <x:v>FALSE</x:v>
      </x:c>
      <x:c r="K6" s="19" t="n">
        <x:v>0.633848</x:v>
      </x:c>
      <x:c r="L6" s="19" t="n">
        <x:v>0.503678</x:v>
      </x:c>
      <x:c r="M6" s="19" t="n">
        <x:v>0.60125</x:v>
      </x:c>
      <x:c r="N6" s="19" t="n">
        <x:v>0.01125</x:v>
      </x:c>
      <x:c r="O6" s="19" t="n">
        <x:v>0</x:v>
      </x:c>
      <x:c r="P6" s="19" t="n">
        <x:v>0.045</x:v>
      </x:c>
      <x:c r="Q6" s="19" t="n">
        <x:v>0.1225</x:v>
      </x:c>
      <x:c r="R6" s="19" t="n">
        <x:v>0.633848</x:v>
      </x:c>
      <x:c r="S6" s="19" t="n">
        <x:v>0.013168</x:v>
      </x:c>
      <x:c r="T6" s="19" t="n">
        <x:v>0</x:v>
      </x:c>
      <x:c r="U6" s="19" t="n">
        <x:v>0.048835</x:v>
      </x:c>
      <x:c r="V6" s="19" t="n">
        <x:v>0.13017</x:v>
      </x:c>
      <x:c r="W6" s="19" t="str">
        <x:v>Weapon_Sword</x:v>
      </x:c>
      <x:c r="X6" s="19" t="str">
        <x:v>Boss_IceDragon</x:v>
      </x:c>
      <x:c r="Y6" s="19" t="str">
        <x:v>Region_SnowfieldRuins</x:v>
      </x:c>
      <x:c r="Z6" s="21" t="n">
        <x:f>IF(G6=F6,1,0)</x:f>
        <x:v>1</x:v>
      </x:c>
    </x:row>
    <x:row r="7">
      <x:c r="A7" s="16" t="str">
        <x:v>PCG_VFX_Evaluation_20260814_191100</x:v>
      </x:c>
      <x:c r="B7" s="16" t="n">
        <x:v>46248.79931439815</x:v>
      </x:c>
      <x:c r="C7" s="16" t="str">
        <x:v>Dynamic_Player_01_Ice_To_Forest_Ocean_Ice</x:v>
      </x:c>
      <x:c r="D7" s="16" t="str">
        <x:v>Day08_ForestCommitment</x:v>
      </x:c>
      <x:c r="E7" s="19" t="n">
        <x:v>8</x:v>
      </x:c>
      <x:c r="F7" s="19" t="str">
        <x:v>Forest</x:v>
      </x:c>
      <x:c r="G7" s="19" t="str">
        <x:v>Ice</x:v>
      </x:c>
      <x:c r="H7" s="19" t="str">
        <x:v>IceToForest</x:v>
      </x:c>
      <x:c r="I7" s="19" t="str">
        <x:v>TRUE</x:v>
      </x:c>
      <x:c r="J7" s="19" t="str">
        <x:v>FALSE</x:v>
      </x:c>
      <x:c r="K7" s="19" t="n">
        <x:v>0.310846</x:v>
      </x:c>
      <x:c r="L7" s="19" t="n">
        <x:v>0.056549</x:v>
      </x:c>
      <x:c r="M7" s="19" t="n">
        <x:v>0.203179</x:v>
      </x:c>
      <x:c r="N7" s="19" t="n">
        <x:v>0.334674</x:v>
      </x:c>
      <x:c r="O7" s="19" t="n">
        <x:v>0</x:v>
      </x:c>
      <x:c r="P7" s="19" t="n">
        <x:v>0.03375</x:v>
      </x:c>
      <x:c r="Q7" s="19" t="n">
        <x:v>0.080779</x:v>
      </x:c>
      <x:c r="R7" s="19" t="n">
        <x:v>0.310846</x:v>
      </x:c>
      <x:c r="S7" s="19" t="n">
        <x:v>0.254298</x:v>
      </x:c>
      <x:c r="T7" s="19" t="n">
        <x:v>0</x:v>
      </x:c>
      <x:c r="U7" s="19" t="n">
        <x:v>0.037521</x:v>
      </x:c>
      <x:c r="V7" s="19" t="n">
        <x:v>0.093127</x:v>
      </x:c>
      <x:c r="W7" s="19" t="str">
        <x:v>Weapon_Sword</x:v>
      </x:c>
      <x:c r="X7" s="19" t="str">
        <x:v>Boss_IceDragon</x:v>
      </x:c>
      <x:c r="Y7" s="19" t="str">
        <x:v>Region_ForestRuins</x:v>
      </x:c>
      <x:c r="Z7" s="21" t="n">
        <x:f>IF(G7=F7,1,0)</x:f>
        <x:v>0</x:v>
      </x:c>
    </x:row>
    <x:row r="8">
      <x:c r="A8" s="16" t="str">
        <x:v>PCG_VFX_Evaluation_20260814_191100</x:v>
      </x:c>
      <x:c r="B8" s="16" t="n">
        <x:v>46248.79931439815</x:v>
      </x:c>
      <x:c r="C8" s="16" t="str">
        <x:v>Dynamic_Player_01_Ice_To_Forest_Ocean_Ice</x:v>
      </x:c>
      <x:c r="D8" s="16" t="str">
        <x:v>Day14_ForestMastery</x:v>
      </x:c>
      <x:c r="E8" s="19" t="n">
        <x:v>14</x:v>
      </x:c>
      <x:c r="F8" s="19" t="str">
        <x:v>Forest</x:v>
      </x:c>
      <x:c r="G8" s="19" t="str">
        <x:v>Forest</x:v>
      </x:c>
      <x:c r="H8" s="19" t="str">
        <x:v>MaintainForest</x:v>
      </x:c>
      <x:c r="I8" s="19" t="str">
        <x:v>FALSE</x:v>
      </x:c>
      <x:c r="J8" s="19" t="str">
        <x:v>FALSE</x:v>
      </x:c>
      <x:c r="K8" s="19" t="n">
        <x:v>0.318163</x:v>
      </x:c>
      <x:c r="L8" s="19" t="n">
        <x:v>0.134563</x:v>
      </x:c>
      <x:c r="M8" s="19" t="n">
        <x:v>0.141185</x:v>
      </x:c>
      <x:c r="N8" s="19" t="n">
        <x:v>0.339451</x:v>
      </x:c>
      <x:c r="O8" s="19" t="n">
        <x:v>0</x:v>
      </x:c>
      <x:c r="P8" s="19" t="n">
        <x:v>0.026477</x:v>
      </x:c>
      <x:c r="Q8" s="19" t="n">
        <x:v>0.065475</x:v>
      </x:c>
      <x:c r="R8" s="19" t="n">
        <x:v>0.1836</x:v>
      </x:c>
      <x:c r="S8" s="19" t="n">
        <x:v>0.318163</x:v>
      </x:c>
      <x:c r="T8" s="19" t="n">
        <x:v>0</x:v>
      </x:c>
      <x:c r="U8" s="19" t="n">
        <x:v>0.029238</x:v>
      </x:c>
      <x:c r="V8" s="19" t="n">
        <x:v>0.072388</x:v>
      </x:c>
      <x:c r="W8" s="19" t="str">
        <x:v>Weapon_Bow</x:v>
      </x:c>
      <x:c r="X8" s="19" t="str">
        <x:v>Boss_IceDragon</x:v>
      </x:c>
      <x:c r="Y8" s="19" t="str">
        <x:v>Region_ForestRuins</x:v>
      </x:c>
      <x:c r="Z8" s="21" t="n">
        <x:f>IF(G8=F8,1,0)</x:f>
        <x:v>1</x:v>
      </x:c>
    </x:row>
    <x:row r="9">
      <x:c r="A9" s="16" t="str">
        <x:v>PCG_VFX_Evaluation_20260814_191100</x:v>
      </x:c>
      <x:c r="B9" s="16" t="n">
        <x:v>46248.79931439815</x:v>
      </x:c>
      <x:c r="C9" s="16" t="str">
        <x:v>Dynamic_Player_01_Ice_To_Forest_Ocean_Ice</x:v>
      </x:c>
      <x:c r="D9" s="16" t="str">
        <x:v>Day20_OceanDiscovery</x:v>
      </x:c>
      <x:c r="E9" s="19" t="n">
        <x:v>20</x:v>
      </x:c>
      <x:c r="F9" s="19" t="str">
        <x:v>Forest</x:v>
      </x:c>
      <x:c r="G9" s="19" t="str">
        <x:v>Forest</x:v>
      </x:c>
      <x:c r="H9" s="19" t="str">
        <x:v>MaintainForest</x:v>
      </x:c>
      <x:c r="I9" s="19" t="str">
        <x:v>FALSE</x:v>
      </x:c>
      <x:c r="J9" s="19" t="str">
        <x:v>FALSE</x:v>
      </x:c>
      <x:c r="K9" s="19" t="n">
        <x:v>0.327821</x:v>
      </x:c>
      <x:c r="L9" s="19" t="n">
        <x:v>0.185405</x:v>
      </x:c>
      <x:c r="M9" s="19" t="n">
        <x:v>0.128689</x:v>
      </x:c>
      <x:c r="N9" s="19" t="n">
        <x:v>0.331041</x:v>
      </x:c>
      <x:c r="O9" s="19" t="n">
        <x:v>0</x:v>
      </x:c>
      <x:c r="P9" s="19" t="n">
        <x:v>0.023906</x:v>
      </x:c>
      <x:c r="Q9" s="19" t="n">
        <x:v>0.06065</x:v>
      </x:c>
      <x:c r="R9" s="19" t="n">
        <x:v>0.142417</x:v>
      </x:c>
      <x:c r="S9" s="19" t="n">
        <x:v>0.327821</x:v>
      </x:c>
      <x:c r="T9" s="19" t="n">
        <x:v>0</x:v>
      </x:c>
      <x:c r="U9" s="19" t="n">
        <x:v>0.025239</x:v>
      </x:c>
      <x:c r="V9" s="19" t="n">
        <x:v>0.063584</x:v>
      </x:c>
      <x:c r="W9" s="19" t="str">
        <x:v>Weapon_Bow</x:v>
      </x:c>
      <x:c r="X9" s="19" t="str">
        <x:v>Boss_IceDragon</x:v>
      </x:c>
      <x:c r="Y9" s="19" t="str">
        <x:v>Region_ForestRuins</x:v>
      </x:c>
      <x:c r="Z9" s="21" t="n">
        <x:f>IF(G9=F9,1,0)</x:f>
        <x:v>1</x:v>
      </x:c>
    </x:row>
    <x:row r="10">
      <x:c r="A10" s="16" t="str">
        <x:v>PCG_VFX_Evaluation_20260814_191100</x:v>
      </x:c>
      <x:c r="B10" s="16" t="n">
        <x:v>46248.79931439815</x:v>
      </x:c>
      <x:c r="C10" s="16" t="str">
        <x:v>Dynamic_Player_01_Ice_To_Forest_Ocean_Ice</x:v>
      </x:c>
      <x:c r="D10" s="16" t="str">
        <x:v>Day27_SeaTurtleDefeat</x:v>
      </x:c>
      <x:c r="E10" s="19" t="n">
        <x:v>27</x:v>
      </x:c>
      <x:c r="F10" s="19" t="str">
        <x:v>Ocean</x:v>
      </x:c>
      <x:c r="G10" s="19" t="str">
        <x:v>Ocean</x:v>
      </x:c>
      <x:c r="H10" s="19" t="str">
        <x:v>ForestToOcean</x:v>
      </x:c>
      <x:c r="I10" s="19" t="str">
        <x:v>TRUE</x:v>
      </x:c>
      <x:c r="J10" s="19" t="str">
        <x:v>FALSE</x:v>
      </x:c>
      <x:c r="K10" s="19" t="n">
        <x:v>0.454262</x:v>
      </x:c>
      <x:c r="L10" s="19" t="n">
        <x:v>0.214913</x:v>
      </x:c>
      <x:c r="M10" s="19" t="n">
        <x:v>0.111692</x:v>
      </x:c>
      <x:c r="N10" s="19" t="n">
        <x:v>0.209859</x:v>
      </x:c>
      <x:c r="O10" s="19" t="n">
        <x:v>0</x:v>
      </x:c>
      <x:c r="P10" s="19" t="n">
        <x:v>0.59727</x:v>
      </x:c>
      <x:c r="Q10" s="19" t="n">
        <x:v>0.088055</x:v>
      </x:c>
      <x:c r="R10" s="19" t="n">
        <x:v>0.119373</x:v>
      </x:c>
      <x:c r="S10" s="19" t="n">
        <x:v>0.23935</x:v>
      </x:c>
      <x:c r="T10" s="19" t="n">
        <x:v>0</x:v>
      </x:c>
      <x:c r="U10" s="19" t="n">
        <x:v>0.454262</x:v>
      </x:c>
      <x:c r="V10" s="19" t="n">
        <x:v>0.081937</x:v>
      </x:c>
      <x:c r="W10" s="19" t="str">
        <x:v>Weapon_Bow</x:v>
      </x:c>
      <x:c r="X10" s="19" t="str">
        <x:v>Boss_SeaTurtle</x:v>
      </x:c>
      <x:c r="Y10" s="19" t="str">
        <x:v>Region_OceanRuins</x:v>
      </x:c>
      <x:c r="Z10" s="21" t="n">
        <x:f>IF(G10=F10,1,0)</x:f>
        <x:v>1</x:v>
      </x:c>
    </x:row>
    <x:row r="11">
      <x:c r="A11" s="16" t="str">
        <x:v>PCG_VFX_Evaluation_20260814_191100</x:v>
      </x:c>
      <x:c r="B11" s="16" t="n">
        <x:v>46248.79931439815</x:v>
      </x:c>
      <x:c r="C11" s="16" t="str">
        <x:v>Dynamic_Player_01_Ice_To_Forest_Ocean_Ice</x:v>
      </x:c>
      <x:c r="D11" s="16" t="str">
        <x:v>Day39_IceDragonRematch</x:v>
      </x:c>
      <x:c r="E11" s="19" t="n">
        <x:v>39</x:v>
      </x:c>
      <x:c r="F11" s="19" t="str">
        <x:v>Ice</x:v>
      </x:c>
      <x:c r="G11" s="19" t="str">
        <x:v>Ice</x:v>
      </x:c>
      <x:c r="H11" s="19" t="str">
        <x:v>OceanToIce</x:v>
      </x:c>
      <x:c r="I11" s="19" t="str">
        <x:v>TRUE</x:v>
      </x:c>
      <x:c r="J11" s="19" t="str">
        <x:v>FALSE</x:v>
      </x:c>
      <x:c r="K11" s="19" t="n">
        <x:v>0.442357</x:v>
      </x:c>
      <x:c r="L11" s="19" t="n">
        <x:v>0.185754</x:v>
      </x:c>
      <x:c r="M11" s="19" t="n">
        <x:v>0.550018</x:v>
      </x:c>
      <x:c r="N11" s="19" t="n">
        <x:v>0.154534</x:v>
      </x:c>
      <x:c r="O11" s="19" t="n">
        <x:v>0</x:v>
      </x:c>
      <x:c r="P11" s="19" t="n">
        <x:v>0.190717</x:v>
      </x:c>
      <x:c r="Q11" s="19" t="n">
        <x:v>0.157794</x:v>
      </x:c>
      <x:c r="R11" s="19" t="n">
        <x:v>0.442357</x:v>
      </x:c>
      <x:c r="S11" s="19" t="n">
        <x:v>0.175738</x:v>
      </x:c>
      <x:c r="T11" s="19" t="n">
        <x:v>0</x:v>
      </x:c>
      <x:c r="U11" s="19" t="n">
        <x:v>0.256603</x:v>
      </x:c>
      <x:c r="V11" s="19" t="n">
        <x:v>0.13883</x:v>
      </x:c>
      <x:c r="W11" s="19" t="str">
        <x:v>Weapon_Sword</x:v>
      </x:c>
      <x:c r="X11" s="19" t="str">
        <x:v>Boss_IceDragon</x:v>
      </x:c>
      <x:c r="Y11" s="19" t="str">
        <x:v>Region_SnowfieldRuins</x:v>
      </x:c>
      <x:c r="Z11" s="21" t="n">
        <x:f>IF(G11=F11,1,0)</x:f>
        <x:v>1</x:v>
      </x:c>
    </x:row>
  </x:sheetData>
  <x:mergeCells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d37ea9c47b1944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</x:cols>
  <x:sheetData>
    <x:row r="1" ht="26" customHeight="1">
      <x:c r="A1" s="4" t="str">
        <x:v>Temporal-decay audit data</x:v>
      </x:c>
    </x:row>
    <x:row r="2" ht="34" customHeight="1">
      <x:c r="A2" s="8" t="str">
        <x:v>Imported from DecayAudit.csv: 25 decayed weapon, boss, and region signals.</x:v>
      </x:c>
    </x:row>
    <x:row r="4">
      <x:c r="A4" s="14" t="str">
        <x:v>ExperimentId</x:v>
      </x:c>
      <x:c r="B4" s="14" t="str">
        <x:v>GeneratedAtUtc</x:v>
      </x:c>
      <x:c r="C4" s="14" t="str">
        <x:v>TrajectoryId</x:v>
      </x:c>
      <x:c r="D4" s="14" t="str">
        <x:v>NodeId</x:v>
      </x:c>
      <x:c r="E4" s="14" t="str">
        <x:v>Day</x:v>
      </x:c>
      <x:c r="F4" s="14" t="str">
        <x:v>SignalType</x:v>
      </x:c>
      <x:c r="G4" s="14" t="str">
        <x:v>EntityId</x:v>
      </x:c>
      <x:c r="H4" s="14" t="str">
        <x:v>PreviousDay</x:v>
      </x:c>
      <x:c r="I4" s="14" t="str">
        <x:v>PreviousValue</x:v>
      </x:c>
      <x:c r="J4" s="14" t="str">
        <x:v>HalfLifeDays</x:v>
      </x:c>
      <x:c r="K4" s="14" t="str">
        <x:v>DecayFactor</x:v>
      </x:c>
      <x:c r="L4" s="14" t="str">
        <x:v>ExpectedDecayedValue</x:v>
      </x:c>
      <x:c r="M4" s="14" t="str">
        <x:v>ObservedDecayedValue</x:v>
      </x:c>
      <x:c r="N4" s="14" t="str">
        <x:v>Absolute Error</x:v>
      </x:c>
    </x:row>
    <x:row r="5">
      <x:c r="A5" s="16" t="str">
        <x:v>PCG_VFX_Evaluation_20260814_191100</x:v>
      </x:c>
      <x:c r="B5" s="16" t="n">
        <x:v>46248.79931439815</x:v>
      </x:c>
      <x:c r="C5" s="16" t="str">
        <x:v>Dynamic_Player_01_Ice_To_Forest_Ocean_Ice</x:v>
      </x:c>
      <x:c r="D5" s="16" t="str">
        <x:v>Day01_IceBaseline</x:v>
      </x:c>
      <x:c r="E5" s="19" t="n">
        <x:v>1</x:v>
      </x:c>
      <x:c r="F5" s="19" t="str">
        <x:v>WeaponEffectiveUse</x:v>
      </x:c>
      <x:c r="G5" s="19" t="str">
        <x:v>Sword</x:v>
      </x:c>
      <x:c r="H5" s="19" t="n">
        <x:v>0</x:v>
      </x:c>
      <x:c r="I5" s="19" t="n">
        <x:v>360</x:v>
      </x:c>
      <x:c r="J5" s="19" t="n">
        <x:v>15</x:v>
      </x:c>
      <x:c r="K5" s="19" t="n">
        <x:v>0.954842</x:v>
      </x:c>
      <x:c r="L5" s="19" t="n">
        <x:v>343.743</x:v>
      </x:c>
      <x:c r="M5" s="19" t="n">
        <x:v>343.743</x:v>
      </x:c>
      <x:c r="N5" s="19" t="n">
        <x:f>ABS(M5-L5)</x:f>
        <x:v>0</x:v>
      </x:c>
    </x:row>
    <x:row r="6">
      <x:c r="A6" s="16" t="str">
        <x:v>PCG_VFX_Evaluation_20260814_191100</x:v>
      </x:c>
      <x:c r="B6" s="16" t="n">
        <x:v>46248.79931439815</x:v>
      </x:c>
      <x:c r="C6" s="16" t="str">
        <x:v>Dynamic_Player_01_Ice_To_Forest_Ocean_Ice</x:v>
      </x:c>
      <x:c r="D6" s="16" t="str">
        <x:v>Day01_IceBaseline</x:v>
      </x:c>
      <x:c r="E6" s="19" t="n">
        <x:v>1</x:v>
      </x:c>
      <x:c r="F6" s="19" t="str">
        <x:v>BossRecencyWeight</x:v>
      </x:c>
      <x:c r="G6" s="19" t="str">
        <x:v>IceDragon</x:v>
      </x:c>
      <x:c r="H6" s="19" t="n">
        <x:v>0</x:v>
      </x:c>
      <x:c r="I6" s="19" t="n">
        <x:v>1</x:v>
      </x:c>
      <x:c r="J6" s="19" t="n">
        <x:v>4</x:v>
      </x:c>
      <x:c r="K6" s="19" t="n">
        <x:v>0.840896</x:v>
      </x:c>
      <x:c r="L6" s="19" t="n">
        <x:v>0.840896</x:v>
      </x:c>
      <x:c r="M6" s="19" t="n">
        <x:v>0.840896</x:v>
      </x:c>
      <x:c r="N6" s="19" t="n">
        <x:f>ABS(M6-L6)</x:f>
        <x:v>0</x:v>
      </x:c>
    </x:row>
    <x:row r="7">
      <x:c r="A7" s="16" t="str">
        <x:v>PCG_VFX_Evaluation_20260814_191100</x:v>
      </x:c>
      <x:c r="B7" s="16" t="n">
        <x:v>46248.79931439815</x:v>
      </x:c>
      <x:c r="C7" s="16" t="str">
        <x:v>Dynamic_Player_01_Ice_To_Forest_Ocean_Ice</x:v>
      </x:c>
      <x:c r="D7" s="16" t="str">
        <x:v>Day04_IceSettled</x:v>
      </x:c>
      <x:c r="E7" s="19" t="n">
        <x:v>4</x:v>
      </x:c>
      <x:c r="F7" s="19" t="str">
        <x:v>WeaponEffectiveUse</x:v>
      </x:c>
      <x:c r="G7" s="19" t="str">
        <x:v>Sword</x:v>
      </x:c>
      <x:c r="H7" s="19" t="n">
        <x:v>1</x:v>
      </x:c>
      <x:c r="I7" s="19" t="n">
        <x:v>433.743</x:v>
      </x:c>
      <x:c r="J7" s="19" t="n">
        <x:v>15</x:v>
      </x:c>
      <x:c r="K7" s="19" t="n">
        <x:v>0.870551</x:v>
      </x:c>
      <x:c r="L7" s="19" t="n">
        <x:v>377.5952</x:v>
      </x:c>
      <x:c r="M7" s="19" t="n">
        <x:v>377.5952</x:v>
      </x:c>
      <x:c r="N7" s="19" t="n">
        <x:f>ABS(M7-L7)</x:f>
        <x:v>0</x:v>
      </x:c>
    </x:row>
    <x:row r="8">
      <x:c r="A8" s="16" t="str">
        <x:v>PCG_VFX_Evaluation_20260814_191100</x:v>
      </x:c>
      <x:c r="B8" s="16" t="n">
        <x:v>46248.79931439815</x:v>
      </x:c>
      <x:c r="C8" s="16" t="str">
        <x:v>Dynamic_Player_01_Ice_To_Forest_Ocean_Ice</x:v>
      </x:c>
      <x:c r="D8" s="16" t="str">
        <x:v>Day04_IceSettled</x:v>
      </x:c>
      <x:c r="E8" s="19" t="n">
        <x:v>4</x:v>
      </x:c>
      <x:c r="F8" s="19" t="str">
        <x:v>BossRecencyWeight</x:v>
      </x:c>
      <x:c r="G8" s="19" t="str">
        <x:v>IceDragon</x:v>
      </x:c>
      <x:c r="H8" s="19" t="n">
        <x:v>1</x:v>
      </x:c>
      <x:c r="I8" s="19" t="n">
        <x:v>0.840896</x:v>
      </x:c>
      <x:c r="J8" s="19" t="n">
        <x:v>4</x:v>
      </x:c>
      <x:c r="K8" s="19" t="n">
        <x:v>0.594604</x:v>
      </x:c>
      <x:c r="L8" s="19" t="n">
        <x:v>0.5</x:v>
      </x:c>
      <x:c r="M8" s="19" t="n">
        <x:v>0.5</x:v>
      </x:c>
      <x:c r="N8" s="19" t="n">
        <x:f>ABS(M8-L8)</x:f>
        <x:v>0</x:v>
      </x:c>
    </x:row>
    <x:row r="9">
      <x:c r="A9" s="16" t="str">
        <x:v>PCG_VFX_Evaluation_20260814_191100</x:v>
      </x:c>
      <x:c r="B9" s="16" t="n">
        <x:v>46248.79931439815</x:v>
      </x:c>
      <x:c r="C9" s="16" t="str">
        <x:v>Dynamic_Player_01_Ice_To_Forest_Ocean_Ice</x:v>
      </x:c>
      <x:c r="D9" s="16" t="str">
        <x:v>Day08_ForestCommitment</x:v>
      </x:c>
      <x:c r="E9" s="19" t="n">
        <x:v>8</x:v>
      </x:c>
      <x:c r="F9" s="19" t="str">
        <x:v>WeaponEffectiveUse</x:v>
      </x:c>
      <x:c r="G9" s="19" t="str">
        <x:v>Sword</x:v>
      </x:c>
      <x:c r="H9" s="19" t="n">
        <x:v>4</x:v>
      </x:c>
      <x:c r="I9" s="19" t="n">
        <x:v>487.5952</x:v>
      </x:c>
      <x:c r="J9" s="19" t="n">
        <x:v>15</x:v>
      </x:c>
      <x:c r="K9" s="19" t="n">
        <x:v>0.831238</x:v>
      </x:c>
      <x:c r="L9" s="19" t="n">
        <x:v>405.3076</x:v>
      </x:c>
      <x:c r="M9" s="19" t="n">
        <x:v>405.3076</x:v>
      </x:c>
      <x:c r="N9" s="19" t="n">
        <x:f>ABS(M9-L9)</x:f>
        <x:v>0</x:v>
      </x:c>
    </x:row>
    <x:row r="10">
      <x:c r="A10" s="16" t="str">
        <x:v>PCG_VFX_Evaluation_20260814_191100</x:v>
      </x:c>
      <x:c r="B10" s="16" t="n">
        <x:v>46248.79931439815</x:v>
      </x:c>
      <x:c r="C10" s="16" t="str">
        <x:v>Dynamic_Player_01_Ice_To_Forest_Ocean_Ice</x:v>
      </x:c>
      <x:c r="D10" s="16" t="str">
        <x:v>Day08_ForestCommitment</x:v>
      </x:c>
      <x:c r="E10" s="19" t="n">
        <x:v>8</x:v>
      </x:c>
      <x:c r="F10" s="19" t="str">
        <x:v>BossRecencyWeight</x:v>
      </x:c>
      <x:c r="G10" s="19" t="str">
        <x:v>IceDragon</x:v>
      </x:c>
      <x:c r="H10" s="19" t="n">
        <x:v>4</x:v>
      </x:c>
      <x:c r="I10" s="19" t="n">
        <x:v>0.5</x:v>
      </x:c>
      <x:c r="J10" s="19" t="n">
        <x:v>4</x:v>
      </x:c>
      <x:c r="K10" s="19" t="n">
        <x:v>0.5</x:v>
      </x:c>
      <x:c r="L10" s="19" t="n">
        <x:v>0.25</x:v>
      </x:c>
      <x:c r="M10" s="19" t="n">
        <x:v>0.25</x:v>
      </x:c>
      <x:c r="N10" s="19" t="n">
        <x:f>ABS(M10-L10)</x:f>
        <x:v>0</x:v>
      </x:c>
    </x:row>
    <x:row r="11">
      <x:c r="A11" s="16" t="str">
        <x:v>PCG_VFX_Evaluation_20260814_191100</x:v>
      </x:c>
      <x:c r="B11" s="16" t="n">
        <x:v>46248.79931439815</x:v>
      </x:c>
      <x:c r="C11" s="16" t="str">
        <x:v>Dynamic_Player_01_Ice_To_Forest_Ocean_Ice</x:v>
      </x:c>
      <x:c r="D11" s="16" t="str">
        <x:v>Day14_ForestMastery</x:v>
      </x:c>
      <x:c r="E11" s="19" t="n">
        <x:v>14</x:v>
      </x:c>
      <x:c r="F11" s="19" t="str">
        <x:v>WeaponEffectiveUse</x:v>
      </x:c>
      <x:c r="G11" s="19" t="str">
        <x:v>Sword</x:v>
      </x:c>
      <x:c r="H11" s="19" t="n">
        <x:v>8</x:v>
      </x:c>
      <x:c r="I11" s="19" t="n">
        <x:v>430.3076</x:v>
      </x:c>
      <x:c r="J11" s="19" t="n">
        <x:v>15</x:v>
      </x:c>
      <x:c r="K11" s="19" t="n">
        <x:v>0.757858</x:v>
      </x:c>
      <x:c r="L11" s="19" t="n">
        <x:v>326.1122</x:v>
      </x:c>
      <x:c r="M11" s="19" t="n">
        <x:v>326.1122</x:v>
      </x:c>
      <x:c r="N11" s="19" t="n">
        <x:f>ABS(M11-L11)</x:f>
        <x:v>0</x:v>
      </x:c>
    </x:row>
    <x:row r="12">
      <x:c r="A12" s="16" t="str">
        <x:v>PCG_VFX_Evaluation_20260814_191100</x:v>
      </x:c>
      <x:c r="B12" s="16" t="n">
        <x:v>46248.79931439815</x:v>
      </x:c>
      <x:c r="C12" s="16" t="str">
        <x:v>Dynamic_Player_01_Ice_To_Forest_Ocean_Ice</x:v>
      </x:c>
      <x:c r="D12" s="16" t="str">
        <x:v>Day14_ForestMastery</x:v>
      </x:c>
      <x:c r="E12" s="19" t="n">
        <x:v>14</x:v>
      </x:c>
      <x:c r="F12" s="19" t="str">
        <x:v>WeaponEffectiveUse</x:v>
      </x:c>
      <x:c r="G12" s="19" t="str">
        <x:v>Bow</x:v>
      </x:c>
      <x:c r="H12" s="19" t="n">
        <x:v>8</x:v>
      </x:c>
      <x:c r="I12" s="19" t="n">
        <x:v>300</x:v>
      </x:c>
      <x:c r="J12" s="19" t="n">
        <x:v>15</x:v>
      </x:c>
      <x:c r="K12" s="19" t="n">
        <x:v>0.757858</x:v>
      </x:c>
      <x:c r="L12" s="19" t="n">
        <x:v>227.3575</x:v>
      </x:c>
      <x:c r="M12" s="19" t="n">
        <x:v>227.3575</x:v>
      </x:c>
      <x:c r="N12" s="19" t="n">
        <x:f>ABS(M12-L12)</x:f>
        <x:v>0</x:v>
      </x:c>
    </x:row>
    <x:row r="13">
      <x:c r="A13" s="16" t="str">
        <x:v>PCG_VFX_Evaluation_20260814_191100</x:v>
      </x:c>
      <x:c r="B13" s="16" t="n">
        <x:v>46248.79931439815</x:v>
      </x:c>
      <x:c r="C13" s="16" t="str">
        <x:v>Dynamic_Player_01_Ice_To_Forest_Ocean_Ice</x:v>
      </x:c>
      <x:c r="D13" s="16" t="str">
        <x:v>Day14_ForestMastery</x:v>
      </x:c>
      <x:c r="E13" s="19" t="n">
        <x:v>14</x:v>
      </x:c>
      <x:c r="F13" s="19" t="str">
        <x:v>BossRecencyWeight</x:v>
      </x:c>
      <x:c r="G13" s="19" t="str">
        <x:v>IceDragon</x:v>
      </x:c>
      <x:c r="H13" s="19" t="n">
        <x:v>8</x:v>
      </x:c>
      <x:c r="I13" s="19" t="n">
        <x:v>0.25</x:v>
      </x:c>
      <x:c r="J13" s="19" t="n">
        <x:v>4</x:v>
      </x:c>
      <x:c r="K13" s="19" t="n">
        <x:v>0.353553</x:v>
      </x:c>
      <x:c r="L13" s="19" t="n">
        <x:v>0.088388</x:v>
      </x:c>
      <x:c r="M13" s="19" t="n">
        <x:v>0.088388</x:v>
      </x:c>
      <x:c r="N13" s="19" t="n">
        <x:f>ABS(M13-L13)</x:f>
        <x:v>0</x:v>
      </x:c>
    </x:row>
    <x:row r="14">
      <x:c r="A14" s="16" t="str">
        <x:v>PCG_VFX_Evaluation_20260814_191100</x:v>
      </x:c>
      <x:c r="B14" s="16" t="n">
        <x:v>46248.79931439815</x:v>
      </x:c>
      <x:c r="C14" s="16" t="str">
        <x:v>Dynamic_Player_01_Ice_To_Forest_Ocean_Ice</x:v>
      </x:c>
      <x:c r="D14" s="16" t="str">
        <x:v>Day14_ForestMastery</x:v>
      </x:c>
      <x:c r="E14" s="19" t="n">
        <x:v>14</x:v>
      </x:c>
      <x:c r="F14" s="19" t="str">
        <x:v>RegionRecentVisit</x:v>
      </x:c>
      <x:c r="G14" s="19" t="str">
        <x:v>ForestRuins</x:v>
      </x:c>
      <x:c r="H14" s="19" t="n">
        <x:v>8</x:v>
      </x:c>
      <x:c r="I14" s="19" t="n">
        <x:v>650</x:v>
      </x:c>
      <x:c r="J14" s="19" t="n">
        <x:v>20</x:v>
      </x:c>
      <x:c r="K14" s="19" t="n">
        <x:v>0.812252</x:v>
      </x:c>
      <x:c r="L14" s="19" t="n">
        <x:v>527.9641</x:v>
      </x:c>
      <x:c r="M14" s="19" t="n">
        <x:v>527.9641</x:v>
      </x:c>
      <x:c r="N14" s="19" t="n">
        <x:f>ABS(M14-L14)</x:f>
        <x:v>0</x:v>
      </x:c>
    </x:row>
    <x:row r="15">
      <x:c r="A15" s="16" t="str">
        <x:v>PCG_VFX_Evaluation_20260814_191100</x:v>
      </x:c>
      <x:c r="B15" s="16" t="n">
        <x:v>46248.79931439815</x:v>
      </x:c>
      <x:c r="C15" s="16" t="str">
        <x:v>Dynamic_Player_01_Ice_To_Forest_Ocean_Ice</x:v>
      </x:c>
      <x:c r="D15" s="16" t="str">
        <x:v>Day20_OceanDiscovery</x:v>
      </x:c>
      <x:c r="E15" s="19" t="n">
        <x:v>20</x:v>
      </x:c>
      <x:c r="F15" s="19" t="str">
        <x:v>WeaponEffectiveUse</x:v>
      </x:c>
      <x:c r="G15" s="19" t="str">
        <x:v>Sword</x:v>
      </x:c>
      <x:c r="H15" s="19" t="n">
        <x:v>14</x:v>
      </x:c>
      <x:c r="I15" s="19" t="n">
        <x:v>326.1122</x:v>
      </x:c>
      <x:c r="J15" s="19" t="n">
        <x:v>15</x:v>
      </x:c>
      <x:c r="K15" s="19" t="n">
        <x:v>0.757858</x:v>
      </x:c>
      <x:c r="L15" s="19" t="n">
        <x:v>247.1468</x:v>
      </x:c>
      <x:c r="M15" s="19" t="n">
        <x:v>247.1468</x:v>
      </x:c>
      <x:c r="N15" s="19" t="n">
        <x:f>ABS(M15-L15)</x:f>
        <x:v>0</x:v>
      </x:c>
    </x:row>
    <x:row r="16">
      <x:c r="A16" s="16" t="str">
        <x:v>PCG_VFX_Evaluation_20260814_191100</x:v>
      </x:c>
      <x:c r="B16" s="16" t="n">
        <x:v>46248.79931439815</x:v>
      </x:c>
      <x:c r="C16" s="16" t="str">
        <x:v>Dynamic_Player_01_Ice_To_Forest_Ocean_Ice</x:v>
      </x:c>
      <x:c r="D16" s="16" t="str">
        <x:v>Day20_OceanDiscovery</x:v>
      </x:c>
      <x:c r="E16" s="19" t="n">
        <x:v>20</x:v>
      </x:c>
      <x:c r="F16" s="19" t="str">
        <x:v>WeaponEffectiveUse</x:v>
      </x:c>
      <x:c r="G16" s="19" t="str">
        <x:v>Bow</x:v>
      </x:c>
      <x:c r="H16" s="19" t="n">
        <x:v>14</x:v>
      </x:c>
      <x:c r="I16" s="19" t="n">
        <x:v>587.3575</x:v>
      </x:c>
      <x:c r="J16" s="19" t="n">
        <x:v>15</x:v>
      </x:c>
      <x:c r="K16" s="19" t="n">
        <x:v>0.757858</x:v>
      </x:c>
      <x:c r="L16" s="19" t="n">
        <x:v>445.1337</x:v>
      </x:c>
      <x:c r="M16" s="19" t="n">
        <x:v>445.1337</x:v>
      </x:c>
      <x:c r="N16" s="19" t="n">
        <x:f>ABS(M16-L16)</x:f>
        <x:v>0</x:v>
      </x:c>
    </x:row>
    <x:row r="17">
      <x:c r="A17" s="16" t="str">
        <x:v>PCG_VFX_Evaluation_20260814_191100</x:v>
      </x:c>
      <x:c r="B17" s="16" t="n">
        <x:v>46248.79931439815</x:v>
      </x:c>
      <x:c r="C17" s="16" t="str">
        <x:v>Dynamic_Player_01_Ice_To_Forest_Ocean_Ice</x:v>
      </x:c>
      <x:c r="D17" s="16" t="str">
        <x:v>Day20_OceanDiscovery</x:v>
      </x:c>
      <x:c r="E17" s="19" t="n">
        <x:v>20</x:v>
      </x:c>
      <x:c r="F17" s="19" t="str">
        <x:v>BossRecencyWeight</x:v>
      </x:c>
      <x:c r="G17" s="19" t="str">
        <x:v>IceDragon</x:v>
      </x:c>
      <x:c r="H17" s="19" t="n">
        <x:v>14</x:v>
      </x:c>
      <x:c r="I17" s="19" t="n">
        <x:v>0.088388</x:v>
      </x:c>
      <x:c r="J17" s="19" t="n">
        <x:v>4</x:v>
      </x:c>
      <x:c r="K17" s="19" t="n">
        <x:v>0.353553</x:v>
      </x:c>
      <x:c r="L17" s="19" t="n">
        <x:v>0.03125</x:v>
      </x:c>
      <x:c r="M17" s="19" t="n">
        <x:v>0.03125</x:v>
      </x:c>
      <x:c r="N17" s="19" t="n">
        <x:f>ABS(M17-L17)</x:f>
        <x:v>0</x:v>
      </x:c>
    </x:row>
    <x:row r="18">
      <x:c r="A18" s="16" t="str">
        <x:v>PCG_VFX_Evaluation_20260814_191100</x:v>
      </x:c>
      <x:c r="B18" s="16" t="n">
        <x:v>46248.79931439815</x:v>
      </x:c>
      <x:c r="C18" s="16" t="str">
        <x:v>Dynamic_Player_01_Ice_To_Forest_Ocean_Ice</x:v>
      </x:c>
      <x:c r="D18" s="16" t="str">
        <x:v>Day20_OceanDiscovery</x:v>
      </x:c>
      <x:c r="E18" s="19" t="n">
        <x:v>20</x:v>
      </x:c>
      <x:c r="F18" s="19" t="str">
        <x:v>RegionRecentVisit</x:v>
      </x:c>
      <x:c r="G18" s="19" t="str">
        <x:v>ForestRuins</x:v>
      </x:c>
      <x:c r="H18" s="19" t="n">
        <x:v>14</x:v>
      </x:c>
      <x:c r="I18" s="19" t="n">
        <x:v>1027.964</x:v>
      </x:c>
      <x:c r="J18" s="19" t="n">
        <x:v>20</x:v>
      </x:c>
      <x:c r="K18" s="19" t="n">
        <x:v>0.812252</x:v>
      </x:c>
      <x:c r="L18" s="19" t="n">
        <x:v>834.9663</x:v>
      </x:c>
      <x:c r="M18" s="19" t="n">
        <x:v>834.9663</x:v>
      </x:c>
      <x:c r="N18" s="19" t="n">
        <x:f>ABS(M18-L18)</x:f>
        <x:v>0</x:v>
      </x:c>
    </x:row>
    <x:row r="19">
      <x:c r="A19" s="16" t="str">
        <x:v>PCG_VFX_Evaluation_20260814_191100</x:v>
      </x:c>
      <x:c r="B19" s="16" t="n">
        <x:v>46248.79931439815</x:v>
      </x:c>
      <x:c r="C19" s="16" t="str">
        <x:v>Dynamic_Player_01_Ice_To_Forest_Ocean_Ice</x:v>
      </x:c>
      <x:c r="D19" s="16" t="str">
        <x:v>Day27_SeaTurtleDefeat</x:v>
      </x:c>
      <x:c r="E19" s="19" t="n">
        <x:v>27</x:v>
      </x:c>
      <x:c r="F19" s="19" t="str">
        <x:v>WeaponEffectiveUse</x:v>
      </x:c>
      <x:c r="G19" s="19" t="str">
        <x:v>Sword</x:v>
      </x:c>
      <x:c r="H19" s="19" t="n">
        <x:v>20</x:v>
      </x:c>
      <x:c r="I19" s="19" t="n">
        <x:v>247.1468</x:v>
      </x:c>
      <x:c r="J19" s="19" t="n">
        <x:v>15</x:v>
      </x:c>
      <x:c r="K19" s="19" t="n">
        <x:v>0.723635</x:v>
      </x:c>
      <x:c r="L19" s="19" t="n">
        <x:v>178.844</x:v>
      </x:c>
      <x:c r="M19" s="19" t="n">
        <x:v>178.844</x:v>
      </x:c>
      <x:c r="N19" s="19" t="n">
        <x:f>ABS(M19-L19)</x:f>
        <x:v>0</x:v>
      </x:c>
    </x:row>
    <x:row r="20">
      <x:c r="A20" s="16" t="str">
        <x:v>PCG_VFX_Evaluation_20260814_191100</x:v>
      </x:c>
      <x:c r="B20" s="16" t="n">
        <x:v>46248.79931439815</x:v>
      </x:c>
      <x:c r="C20" s="16" t="str">
        <x:v>Dynamic_Player_01_Ice_To_Forest_Ocean_Ice</x:v>
      </x:c>
      <x:c r="D20" s="16" t="str">
        <x:v>Day27_SeaTurtleDefeat</x:v>
      </x:c>
      <x:c r="E20" s="19" t="n">
        <x:v>27</x:v>
      </x:c>
      <x:c r="F20" s="19" t="str">
        <x:v>WeaponEffectiveUse</x:v>
      </x:c>
      <x:c r="G20" s="19" t="str">
        <x:v>Bow</x:v>
      </x:c>
      <x:c r="H20" s="19" t="n">
        <x:v>20</x:v>
      </x:c>
      <x:c r="I20" s="19" t="n">
        <x:v>595.1337</x:v>
      </x:c>
      <x:c r="J20" s="19" t="n">
        <x:v>15</x:v>
      </x:c>
      <x:c r="K20" s="19" t="n">
        <x:v>0.723635</x:v>
      </x:c>
      <x:c r="L20" s="19" t="n">
        <x:v>430.6594</x:v>
      </x:c>
      <x:c r="M20" s="19" t="n">
        <x:v>430.6594</x:v>
      </x:c>
      <x:c r="N20" s="19" t="n">
        <x:f>ABS(M20-L20)</x:f>
        <x:v>0</x:v>
      </x:c>
    </x:row>
    <x:row r="21">
      <x:c r="A21" s="16" t="str">
        <x:v>PCG_VFX_Evaluation_20260814_191100</x:v>
      </x:c>
      <x:c r="B21" s="16" t="n">
        <x:v>46248.79931439815</x:v>
      </x:c>
      <x:c r="C21" s="16" t="str">
        <x:v>Dynamic_Player_01_Ice_To_Forest_Ocean_Ice</x:v>
      </x:c>
      <x:c r="D21" s="16" t="str">
        <x:v>Day27_SeaTurtleDefeat</x:v>
      </x:c>
      <x:c r="E21" s="19" t="n">
        <x:v>27</x:v>
      </x:c>
      <x:c r="F21" s="19" t="str">
        <x:v>BossRecencyWeight</x:v>
      </x:c>
      <x:c r="G21" s="19" t="str">
        <x:v>IceDragon</x:v>
      </x:c>
      <x:c r="H21" s="19" t="n">
        <x:v>20</x:v>
      </x:c>
      <x:c r="I21" s="19" t="n">
        <x:v>0.03125</x:v>
      </x:c>
      <x:c r="J21" s="19" t="n">
        <x:v>4</x:v>
      </x:c>
      <x:c r="K21" s="19" t="n">
        <x:v>0.297302</x:v>
      </x:c>
      <x:c r="L21" s="19" t="n">
        <x:v>0.009291</x:v>
      </x:c>
      <x:c r="M21" s="19" t="n">
        <x:v>0.009291</x:v>
      </x:c>
      <x:c r="N21" s="19" t="n">
        <x:f>ABS(M21-L21)</x:f>
        <x:v>0</x:v>
      </x:c>
    </x:row>
    <x:row r="22">
      <x:c r="A22" s="16" t="str">
        <x:v>PCG_VFX_Evaluation_20260814_191100</x:v>
      </x:c>
      <x:c r="B22" s="16" t="n">
        <x:v>46248.79931439815</x:v>
      </x:c>
      <x:c r="C22" s="16" t="str">
        <x:v>Dynamic_Player_01_Ice_To_Forest_Ocean_Ice</x:v>
      </x:c>
      <x:c r="D22" s="16" t="str">
        <x:v>Day27_SeaTurtleDefeat</x:v>
      </x:c>
      <x:c r="E22" s="19" t="n">
        <x:v>27</x:v>
      </x:c>
      <x:c r="F22" s="19" t="str">
        <x:v>RegionRecentVisit</x:v>
      </x:c>
      <x:c r="G22" s="19" t="str">
        <x:v>ForestRuins</x:v>
      </x:c>
      <x:c r="H22" s="19" t="n">
        <x:v>20</x:v>
      </x:c>
      <x:c r="I22" s="19" t="n">
        <x:v>1014.966</x:v>
      </x:c>
      <x:c r="J22" s="19" t="n">
        <x:v>20</x:v>
      </x:c>
      <x:c r="K22" s="19" t="n">
        <x:v>0.784584</x:v>
      </x:c>
      <x:c r="L22" s="19" t="n">
        <x:v>796.3264</x:v>
      </x:c>
      <x:c r="M22" s="19" t="n">
        <x:v>796.3264</x:v>
      </x:c>
      <x:c r="N22" s="19" t="n">
        <x:f>ABS(M22-L22)</x:f>
        <x:v>0</x:v>
      </x:c>
    </x:row>
    <x:row r="23">
      <x:c r="A23" s="16" t="str">
        <x:v>PCG_VFX_Evaluation_20260814_191100</x:v>
      </x:c>
      <x:c r="B23" s="16" t="n">
        <x:v>46248.79931439815</x:v>
      </x:c>
      <x:c r="C23" s="16" t="str">
        <x:v>Dynamic_Player_01_Ice_To_Forest_Ocean_Ice</x:v>
      </x:c>
      <x:c r="D23" s="16" t="str">
        <x:v>Day27_SeaTurtleDefeat</x:v>
      </x:c>
      <x:c r="E23" s="19" t="n">
        <x:v>27</x:v>
      </x:c>
      <x:c r="F23" s="19" t="str">
        <x:v>RegionRecentVisit</x:v>
      </x:c>
      <x:c r="G23" s="19" t="str">
        <x:v>OceanRuins</x:v>
      </x:c>
      <x:c r="H23" s="19" t="n">
        <x:v>20</x:v>
      </x:c>
      <x:c r="I23" s="19" t="n">
        <x:v>240</x:v>
      </x:c>
      <x:c r="J23" s="19" t="n">
        <x:v>20</x:v>
      </x:c>
      <x:c r="K23" s="19" t="n">
        <x:v>0.784584</x:v>
      </x:c>
      <x:c r="L23" s="19" t="n">
        <x:v>188.3002</x:v>
      </x:c>
      <x:c r="M23" s="19" t="n">
        <x:v>188.3002</x:v>
      </x:c>
      <x:c r="N23" s="19" t="n">
        <x:f>ABS(M23-L23)</x:f>
        <x:v>0</x:v>
      </x:c>
    </x:row>
    <x:row r="24">
      <x:c r="A24" s="16" t="str">
        <x:v>PCG_VFX_Evaluation_20260814_191100</x:v>
      </x:c>
      <x:c r="B24" s="16" t="n">
        <x:v>46248.79931439815</x:v>
      </x:c>
      <x:c r="C24" s="16" t="str">
        <x:v>Dynamic_Player_01_Ice_To_Forest_Ocean_Ice</x:v>
      </x:c>
      <x:c r="D24" s="16" t="str">
        <x:v>Day39_IceDragonRematch</x:v>
      </x:c>
      <x:c r="E24" s="19" t="n">
        <x:v>39</x:v>
      </x:c>
      <x:c r="F24" s="19" t="str">
        <x:v>WeaponEffectiveUse</x:v>
      </x:c>
      <x:c r="G24" s="19" t="str">
        <x:v>Sword</x:v>
      </x:c>
      <x:c r="H24" s="19" t="n">
        <x:v>27</x:v>
      </x:c>
      <x:c r="I24" s="19" t="n">
        <x:v>178.844</x:v>
      </x:c>
      <x:c r="J24" s="19" t="n">
        <x:v>15</x:v>
      </x:c>
      <x:c r="K24" s="19" t="n">
        <x:v>0.574349</x:v>
      </x:c>
      <x:c r="L24" s="19" t="n">
        <x:v>102.7189</x:v>
      </x:c>
      <x:c r="M24" s="19" t="n">
        <x:v>102.7189</x:v>
      </x:c>
      <x:c r="N24" s="19" t="n">
        <x:f>ABS(M24-L24)</x:f>
        <x:v>0</x:v>
      </x:c>
    </x:row>
    <x:row r="25">
      <x:c r="A25" s="16" t="str">
        <x:v>PCG_VFX_Evaluation_20260814_191100</x:v>
      </x:c>
      <x:c r="B25" s="16" t="n">
        <x:v>46248.79931439815</x:v>
      </x:c>
      <x:c r="C25" s="16" t="str">
        <x:v>Dynamic_Player_01_Ice_To_Forest_Ocean_Ice</x:v>
      </x:c>
      <x:c r="D25" s="16" t="str">
        <x:v>Day39_IceDragonRematch</x:v>
      </x:c>
      <x:c r="E25" s="19" t="n">
        <x:v>39</x:v>
      </x:c>
      <x:c r="F25" s="19" t="str">
        <x:v>WeaponEffectiveUse</x:v>
      </x:c>
      <x:c r="G25" s="19" t="str">
        <x:v>Bow</x:v>
      </x:c>
      <x:c r="H25" s="19" t="n">
        <x:v>27</x:v>
      </x:c>
      <x:c r="I25" s="19" t="n">
        <x:v>550.6594</x:v>
      </x:c>
      <x:c r="J25" s="19" t="n">
        <x:v>15</x:v>
      </x:c>
      <x:c r="K25" s="19" t="n">
        <x:v>0.574349</x:v>
      </x:c>
      <x:c r="L25" s="19" t="n">
        <x:v>316.2708</x:v>
      </x:c>
      <x:c r="M25" s="19" t="n">
        <x:v>316.2708</x:v>
      </x:c>
      <x:c r="N25" s="19" t="n">
        <x:f>ABS(M25-L25)</x:f>
        <x:v>0</x:v>
      </x:c>
    </x:row>
    <x:row r="26">
      <x:c r="A26" s="16" t="str">
        <x:v>PCG_VFX_Evaluation_20260814_191100</x:v>
      </x:c>
      <x:c r="B26" s="16" t="n">
        <x:v>46248.79931439815</x:v>
      </x:c>
      <x:c r="C26" s="16" t="str">
        <x:v>Dynamic_Player_01_Ice_To_Forest_Ocean_Ice</x:v>
      </x:c>
      <x:c r="D26" s="16" t="str">
        <x:v>Day39_IceDragonRematch</x:v>
      </x:c>
      <x:c r="E26" s="19" t="n">
        <x:v>39</x:v>
      </x:c>
      <x:c r="F26" s="19" t="str">
        <x:v>BossRecencyWeight</x:v>
      </x:c>
      <x:c r="G26" s="19" t="str">
        <x:v>IceDragon</x:v>
      </x:c>
      <x:c r="H26" s="19" t="n">
        <x:v>27</x:v>
      </x:c>
      <x:c r="I26" s="19" t="n">
        <x:v>0.009291</x:v>
      </x:c>
      <x:c r="J26" s="19" t="n">
        <x:v>4</x:v>
      </x:c>
      <x:c r="K26" s="19" t="n">
        <x:v>0.125</x:v>
      </x:c>
      <x:c r="L26" s="19" t="n">
        <x:v>0.001161</x:v>
      </x:c>
      <x:c r="M26" s="19" t="n">
        <x:v>0.001161</x:v>
      </x:c>
      <x:c r="N26" s="19" t="n">
        <x:f>ABS(M26-L26)</x:f>
        <x:v>0</x:v>
      </x:c>
    </x:row>
    <x:row r="27">
      <x:c r="A27" s="16" t="str">
        <x:v>PCG_VFX_Evaluation_20260814_191100</x:v>
      </x:c>
      <x:c r="B27" s="16" t="n">
        <x:v>46248.79931439815</x:v>
      </x:c>
      <x:c r="C27" s="16" t="str">
        <x:v>Dynamic_Player_01_Ice_To_Forest_Ocean_Ice</x:v>
      </x:c>
      <x:c r="D27" s="16" t="str">
        <x:v>Day39_IceDragonRematch</x:v>
      </x:c>
      <x:c r="E27" s="19" t="n">
        <x:v>39</x:v>
      </x:c>
      <x:c r="F27" s="19" t="str">
        <x:v>BossRecencyWeight</x:v>
      </x:c>
      <x:c r="G27" s="19" t="str">
        <x:v>SeaTurtle</x:v>
      </x:c>
      <x:c r="H27" s="19" t="n">
        <x:v>27</x:v>
      </x:c>
      <x:c r="I27" s="19" t="n">
        <x:v>1</x:v>
      </x:c>
      <x:c r="J27" s="19" t="n">
        <x:v>4</x:v>
      </x:c>
      <x:c r="K27" s="19" t="n">
        <x:v>0.125</x:v>
      </x:c>
      <x:c r="L27" s="19" t="n">
        <x:v>0.125</x:v>
      </x:c>
      <x:c r="M27" s="19" t="n">
        <x:v>0.125</x:v>
      </x:c>
      <x:c r="N27" s="19" t="n">
        <x:f>ABS(M27-L27)</x:f>
        <x:v>0</x:v>
      </x:c>
    </x:row>
    <x:row r="28">
      <x:c r="A28" s="16" t="str">
        <x:v>PCG_VFX_Evaluation_20260814_191100</x:v>
      </x:c>
      <x:c r="B28" s="16" t="n">
        <x:v>46248.79931439815</x:v>
      </x:c>
      <x:c r="C28" s="16" t="str">
        <x:v>Dynamic_Player_01_Ice_To_Forest_Ocean_Ice</x:v>
      </x:c>
      <x:c r="D28" s="16" t="str">
        <x:v>Day39_IceDragonRematch</x:v>
      </x:c>
      <x:c r="E28" s="19" t="n">
        <x:v>39</x:v>
      </x:c>
      <x:c r="F28" s="19" t="str">
        <x:v>RegionRecentVisit</x:v>
      </x:c>
      <x:c r="G28" s="19" t="str">
        <x:v>ForestRuins</x:v>
      </x:c>
      <x:c r="H28" s="19" t="n">
        <x:v>27</x:v>
      </x:c>
      <x:c r="I28" s="19" t="n">
        <x:v>796.3264</x:v>
      </x:c>
      <x:c r="J28" s="19" t="n">
        <x:v>20</x:v>
      </x:c>
      <x:c r="K28" s="19" t="n">
        <x:v>0.659754</x:v>
      </x:c>
      <x:c r="L28" s="19" t="n">
        <x:v>525.3795</x:v>
      </x:c>
      <x:c r="M28" s="19" t="n">
        <x:v>525.3795</x:v>
      </x:c>
      <x:c r="N28" s="19" t="n">
        <x:f>ABS(M28-L28)</x:f>
        <x:v>0</x:v>
      </x:c>
    </x:row>
    <x:row r="29">
      <x:c r="A29" s="16" t="str">
        <x:v>PCG_VFX_Evaluation_20260814_191100</x:v>
      </x:c>
      <x:c r="B29" s="16" t="n">
        <x:v>46248.79931439815</x:v>
      </x:c>
      <x:c r="C29" s="16" t="str">
        <x:v>Dynamic_Player_01_Ice_To_Forest_Ocean_Ice</x:v>
      </x:c>
      <x:c r="D29" s="16" t="str">
        <x:v>Day39_IceDragonRematch</x:v>
      </x:c>
      <x:c r="E29" s="19" t="n">
        <x:v>39</x:v>
      </x:c>
      <x:c r="F29" s="19" t="str">
        <x:v>RegionRecentVisit</x:v>
      </x:c>
      <x:c r="G29" s="19" t="str">
        <x:v>OceanRuins</x:v>
      </x:c>
      <x:c r="H29" s="19" t="n">
        <x:v>27</x:v>
      </x:c>
      <x:c r="I29" s="19" t="n">
        <x:v>1188.3</x:v>
      </x:c>
      <x:c r="J29" s="19" t="n">
        <x:v>20</x:v>
      </x:c>
      <x:c r="K29" s="19" t="n">
        <x:v>0.659754</x:v>
      </x:c>
      <x:c r="L29" s="19" t="n">
        <x:v>783.9857</x:v>
      </x:c>
      <x:c r="M29" s="19" t="n">
        <x:v>783.9857</x:v>
      </x:c>
      <x:c r="N29" s="19" t="n">
        <x:f>ABS(M29-L29)</x:f>
        <x:v>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80a4ad42a3649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6" customHeight="1">
      <x:c r="A1" s="4" t="str">
        <x:v>Static pairwise diversity audit</x:v>
      </x:c>
    </x:row>
    <x:row r="2" ht="34" customHeight="1">
      <x:c r="A2" s="8" t="str">
        <x:v>Each row is one unique pair among the static synthetic profiles. Formula cells derive from Static Raw.</x:v>
      </x:c>
    </x:row>
    <x:row r="4">
      <x:c r="A4" s="14" t="str">
        <x:v>Pair ID</x:v>
      </x:c>
      <x:c r="B4" s="14" t="str">
        <x:v>Profile A</x:v>
      </x:c>
      <x:c r="C4" s="14" t="str">
        <x:v>Profile B</x:v>
      </x:c>
      <x:c r="D4" s="14" t="str">
        <x:v>Theme A</x:v>
      </x:c>
      <x:c r="E4" s="14" t="str">
        <x:v>Theme B</x:v>
      </x:c>
      <x:c r="F4" s="14" t="str">
        <x:v>Weapon Same</x:v>
      </x:c>
      <x:c r="G4" s="14" t="str">
        <x:v>Boss Same</x:v>
      </x:c>
      <x:c r="H4" s="14" t="str">
        <x:v>Region Same</x:v>
      </x:c>
      <x:c r="I4" s="14" t="str">
        <x:v>Slot Diversity (Hamming)</x:v>
      </x:c>
      <x:c r="J4" s="14" t="str">
        <x:v>Semantic Cosine Similarity</x:v>
      </x:c>
      <x:c r="K4" s="14" t="str">
        <x:v>Theme Separation (1 − similarity)</x:v>
      </x:c>
    </x:row>
    <x:row r="5">
      <x:c r="A5" s="16" t="str">
        <x:v>Player_01 vs Player_02</x:v>
      </x:c>
      <x:c r="B5" s="16" t="str">
        <x:f>'Static Raw'!C5</x:f>
        <x:v>Player_01</x:v>
      </x:c>
      <x:c r="C5" s="16" t="str">
        <x:f>'Static Raw'!C6</x:f>
        <x:v>Player_02</x:v>
      </x:c>
      <x:c r="D5" s="16" t="str">
        <x:f>'Static Raw'!E5</x:f>
        <x:v>Ice</x:v>
      </x:c>
      <x:c r="E5" s="16" t="str">
        <x:f>'Static Raw'!E6</x:f>
        <x:v>Galaxy</x:v>
      </x:c>
      <x:c r="F5" s="19" t="n">
        <x:f>IF('Static Raw'!N5='Static Raw'!N6,1,0)</x:f>
        <x:v>0</x:v>
      </x:c>
      <x:c r="G5" s="19" t="n">
        <x:f>IF('Static Raw'!P5='Static Raw'!P6,1,0)</x:f>
        <x:v>0</x:v>
      </x:c>
      <x:c r="H5" s="19" t="n">
        <x:f>IF('Static Raw'!R5='Static Raw'!R6,1,0)</x:f>
        <x:v>0</x:v>
      </x:c>
      <x:c r="I5" s="19" t="n">
        <x:f>1-(F5+G5+H5)/3</x:f>
        <x:v>1</x:v>
      </x:c>
      <x:c r="J5" s="19" t="n">
        <x:f>SUMPRODUCT('Static Raw'!I5:M5,'Static Raw'!I6:M6)/(SQRT(SUMSQ('Static Raw'!I5:M5))*SQRT(SUMSQ('Static Raw'!I6:M6)))</x:f>
        <x:v>0.10240455652138848</x:v>
      </x:c>
      <x:c r="K5" s="19" t="n">
        <x:f>1-J5</x:f>
        <x:v>0.8975954434786115</x:v>
      </x:c>
    </x:row>
    <x:row r="6">
      <x:c r="A6" s="16" t="str">
        <x:v>Player_01 vs Player_03</x:v>
      </x:c>
      <x:c r="B6" s="16" t="str">
        <x:f>'Static Raw'!C5</x:f>
        <x:v>Player_01</x:v>
      </x:c>
      <x:c r="C6" s="16" t="str">
        <x:f>'Static Raw'!C7</x:f>
        <x:v>Player_03</x:v>
      </x:c>
      <x:c r="D6" s="16" t="str">
        <x:f>'Static Raw'!E5</x:f>
        <x:v>Ice</x:v>
      </x:c>
      <x:c r="E6" s="16" t="str">
        <x:f>'Static Raw'!E7</x:f>
        <x:v>Holy</x:v>
      </x:c>
      <x:c r="F6" s="19" t="n">
        <x:f>IF('Static Raw'!N5='Static Raw'!N7,1,0)</x:f>
        <x:v>0</x:v>
      </x:c>
      <x:c r="G6" s="19" t="n">
        <x:f>IF('Static Raw'!P5='Static Raw'!P7,1,0)</x:f>
        <x:v>1</x:v>
      </x:c>
      <x:c r="H6" s="19" t="n">
        <x:f>IF('Static Raw'!R5='Static Raw'!R7,1,0)</x:f>
        <x:v>0</x:v>
      </x:c>
      <x:c r="I6" s="19" t="n">
        <x:f>1-(F6+G6+H6)/3</x:f>
        <x:v>0.6666666666666667</x:v>
      </x:c>
      <x:c r="J6" s="19" t="n">
        <x:f>SUMPRODUCT('Static Raw'!I5:M5,'Static Raw'!I7:M7)/(SQRT(SUMSQ('Static Raw'!I5:M5))*SQRT(SUMSQ('Static Raw'!I7:M7)))</x:f>
        <x:v>0.5203792329070888</x:v>
      </x:c>
      <x:c r="K6" s="19" t="n">
        <x:f>1-J6</x:f>
        <x:v>0.47962076709291124</x:v>
      </x:c>
    </x:row>
    <x:row r="7">
      <x:c r="A7" s="16" t="str">
        <x:v>Player_01 vs Player_04</x:v>
      </x:c>
      <x:c r="B7" s="16" t="str">
        <x:f>'Static Raw'!C5</x:f>
        <x:v>Player_01</x:v>
      </x:c>
      <x:c r="C7" s="16" t="str">
        <x:f>'Static Raw'!C8</x:f>
        <x:v>Player_04</x:v>
      </x:c>
      <x:c r="D7" s="16" t="str">
        <x:f>'Static Raw'!E5</x:f>
        <x:v>Ice</x:v>
      </x:c>
      <x:c r="E7" s="16" t="str">
        <x:f>'Static Raw'!E8</x:f>
        <x:v>Neutral</x:v>
      </x:c>
      <x:c r="F7" s="19" t="n">
        <x:f>IF('Static Raw'!N5='Static Raw'!N8,1,0)</x:f>
        <x:v>0</x:v>
      </x:c>
      <x:c r="G7" s="19" t="n">
        <x:f>IF('Static Raw'!P5='Static Raw'!P8,1,0)</x:f>
        <x:v>0</x:v>
      </x:c>
      <x:c r="H7" s="19" t="n">
        <x:f>IF('Static Raw'!R5='Static Raw'!R8,1,0)</x:f>
        <x:v>0</x:v>
      </x:c>
      <x:c r="I7" s="19" t="n">
        <x:f>1-(F7+G7+H7)/3</x:f>
        <x:v>1</x:v>
      </x:c>
      <x:c r="J7" s="19" t="n">
        <x:f>SUMPRODUCT('Static Raw'!I5:M5,'Static Raw'!I8:M8)/(SQRT(SUMSQ('Static Raw'!I5:M5))*SQRT(SUMSQ('Static Raw'!I8:M8)))</x:f>
        <x:v>0.727736522110669</x:v>
      </x:c>
      <x:c r="K7" s="19" t="n">
        <x:f>1-J7</x:f>
        <x:v>0.27226347788933103</x:v>
      </x:c>
    </x:row>
    <x:row r="8">
      <x:c r="A8" s="16" t="str">
        <x:v>Player_01 vs Player_05</x:v>
      </x:c>
      <x:c r="B8" s="16" t="str">
        <x:f>'Static Raw'!C5</x:f>
        <x:v>Player_01</x:v>
      </x:c>
      <x:c r="C8" s="16" t="str">
        <x:f>'Static Raw'!C9</x:f>
        <x:v>Player_05</x:v>
      </x:c>
      <x:c r="D8" s="16" t="str">
        <x:f>'Static Raw'!E5</x:f>
        <x:v>Ice</x:v>
      </x:c>
      <x:c r="E8" s="16" t="str">
        <x:f>'Static Raw'!E9</x:f>
        <x:v>Neutral</x:v>
      </x:c>
      <x:c r="F8" s="19" t="n">
        <x:f>IF('Static Raw'!N5='Static Raw'!N9,1,0)</x:f>
        <x:v>0</x:v>
      </x:c>
      <x:c r="G8" s="19" t="n">
        <x:f>IF('Static Raw'!P5='Static Raw'!P9,1,0)</x:f>
        <x:v>0</x:v>
      </x:c>
      <x:c r="H8" s="19" t="n">
        <x:f>IF('Static Raw'!R5='Static Raw'!R9,1,0)</x:f>
        <x:v>0</x:v>
      </x:c>
      <x:c r="I8" s="19" t="n">
        <x:f>1-(F8+G8+H8)/3</x:f>
        <x:v>1</x:v>
      </x:c>
      <x:c r="J8" s="19" t="n">
        <x:f>SUMPRODUCT('Static Raw'!I5:M5,'Static Raw'!I9:M9)/(SQRT(SUMSQ('Static Raw'!I5:M5))*SQRT(SUMSQ('Static Raw'!I9:M9)))</x:f>
        <x:v>0.10522447046107669</x:v>
      </x:c>
      <x:c r="K8" s="19" t="n">
        <x:f>1-J8</x:f>
        <x:v>0.8947755295389233</x:v>
      </x:c>
    </x:row>
    <x:row r="9">
      <x:c r="A9" s="16" t="str">
        <x:v>Player_01 vs Player_06</x:v>
      </x:c>
      <x:c r="B9" s="16" t="str">
        <x:f>'Static Raw'!C5</x:f>
        <x:v>Player_01</x:v>
      </x:c>
      <x:c r="C9" s="16" t="str">
        <x:f>'Static Raw'!C10</x:f>
        <x:v>Player_06</x:v>
      </x:c>
      <x:c r="D9" s="16" t="str">
        <x:f>'Static Raw'!E5</x:f>
        <x:v>Ice</x:v>
      </x:c>
      <x:c r="E9" s="16" t="str">
        <x:f>'Static Raw'!E10</x:f>
        <x:v>Ocean</x:v>
      </x:c>
      <x:c r="F9" s="19" t="n">
        <x:f>IF('Static Raw'!N5='Static Raw'!N10,1,0)</x:f>
        <x:v>0</x:v>
      </x:c>
      <x:c r="G9" s="19" t="n">
        <x:f>IF('Static Raw'!P5='Static Raw'!P10,1,0)</x:f>
        <x:v>0</x:v>
      </x:c>
      <x:c r="H9" s="19" t="n">
        <x:f>IF('Static Raw'!R5='Static Raw'!R10,1,0)</x:f>
        <x:v>0</x:v>
      </x:c>
      <x:c r="I9" s="19" t="n">
        <x:f>1-(F9+G9+H9)/3</x:f>
        <x:v>1</x:v>
      </x:c>
      <x:c r="J9" s="19" t="n">
        <x:f>SUMPRODUCT('Static Raw'!I5:M5,'Static Raw'!I10:M10)/(SQRT(SUMSQ('Static Raw'!I5:M5))*SQRT(SUMSQ('Static Raw'!I10:M10)))</x:f>
        <x:v>0.3536765265472843</x:v>
      </x:c>
      <x:c r="K9" s="19" t="n">
        <x:f>1-J9</x:f>
        <x:v>0.6463234734527157</x:v>
      </x:c>
    </x:row>
    <x:row r="10">
      <x:c r="A10" s="16" t="str">
        <x:v>Player_01 vs Player_07</x:v>
      </x:c>
      <x:c r="B10" s="16" t="str">
        <x:f>'Static Raw'!C5</x:f>
        <x:v>Player_01</x:v>
      </x:c>
      <x:c r="C10" s="16" t="str">
        <x:f>'Static Raw'!C11</x:f>
        <x:v>Player_07</x:v>
      </x:c>
      <x:c r="D10" s="16" t="str">
        <x:f>'Static Raw'!E5</x:f>
        <x:v>Ice</x:v>
      </x:c>
      <x:c r="E10" s="16" t="str">
        <x:f>'Static Raw'!E11</x:f>
        <x:v>Galaxy</x:v>
      </x:c>
      <x:c r="F10" s="19" t="n">
        <x:f>IF('Static Raw'!N5='Static Raw'!N11,1,0)</x:f>
        <x:v>0</x:v>
      </x:c>
      <x:c r="G10" s="19" t="n">
        <x:f>IF('Static Raw'!P5='Static Raw'!P11,1,0)</x:f>
        <x:v>1</x:v>
      </x:c>
      <x:c r="H10" s="19" t="n">
        <x:f>IF('Static Raw'!R5='Static Raw'!R11,1,0)</x:f>
        <x:v>0</x:v>
      </x:c>
      <x:c r="I10" s="19" t="n">
        <x:f>1-(F10+G10+H10)/3</x:f>
        <x:v>0.6666666666666667</x:v>
      </x:c>
      <x:c r="J10" s="19" t="n">
        <x:f>SUMPRODUCT('Static Raw'!I5:M5,'Static Raw'!I11:M11)/(SQRT(SUMSQ('Static Raw'!I5:M5))*SQRT(SUMSQ('Static Raw'!I11:M11)))</x:f>
        <x:v>0.3827461213773847</x:v>
      </x:c>
      <x:c r="K10" s="19" t="n">
        <x:f>1-J10</x:f>
        <x:v>0.6172538786226154</x:v>
      </x:c>
    </x:row>
    <x:row r="11">
      <x:c r="A11" s="16" t="str">
        <x:v>Player_01 vs Player_08</x:v>
      </x:c>
      <x:c r="B11" s="16" t="str">
        <x:f>'Static Raw'!C5</x:f>
        <x:v>Player_01</x:v>
      </x:c>
      <x:c r="C11" s="16" t="str">
        <x:f>'Static Raw'!C12</x:f>
        <x:v>Player_08</x:v>
      </x:c>
      <x:c r="D11" s="16" t="str">
        <x:f>'Static Raw'!E5</x:f>
        <x:v>Ice</x:v>
      </x:c>
      <x:c r="E11" s="16" t="str">
        <x:f>'Static Raw'!E12</x:f>
        <x:v>Forest</x:v>
      </x:c>
      <x:c r="F11" s="19" t="n">
        <x:f>IF('Static Raw'!N5='Static Raw'!N12,1,0)</x:f>
        <x:v>0</x:v>
      </x:c>
      <x:c r="G11" s="19" t="n">
        <x:f>IF('Static Raw'!P5='Static Raw'!P12,1,0)</x:f>
        <x:v>0</x:v>
      </x:c>
      <x:c r="H11" s="19" t="n">
        <x:f>IF('Static Raw'!R5='Static Raw'!R12,1,0)</x:f>
        <x:v>0</x:v>
      </x:c>
      <x:c r="I11" s="19" t="n">
        <x:f>1-(F11+G11+H11)/3</x:f>
        <x:v>1</x:v>
      </x:c>
      <x:c r="J11" s="19" t="n">
        <x:f>SUMPRODUCT('Static Raw'!I5:M5,'Static Raw'!I12:M12)/(SQRT(SUMSQ('Static Raw'!I5:M5))*SQRT(SUMSQ('Static Raw'!I12:M12)))</x:f>
        <x:v>0.4228370535516525</x:v>
      </x:c>
      <x:c r="K11" s="19" t="n">
        <x:f>1-J11</x:f>
        <x:v>0.5771629464483474</x:v>
      </x:c>
    </x:row>
    <x:row r="12">
      <x:c r="A12" s="16" t="str">
        <x:v>Player_01 vs Player_09</x:v>
      </x:c>
      <x:c r="B12" s="16" t="str">
        <x:f>'Static Raw'!C5</x:f>
        <x:v>Player_01</x:v>
      </x:c>
      <x:c r="C12" s="16" t="str">
        <x:f>'Static Raw'!C13</x:f>
        <x:v>Player_09</x:v>
      </x:c>
      <x:c r="D12" s="16" t="str">
        <x:f>'Static Raw'!E5</x:f>
        <x:v>Ice</x:v>
      </x:c>
      <x:c r="E12" s="16" t="str">
        <x:f>'Static Raw'!E13</x:f>
        <x:v>Neutral</x:v>
      </x:c>
      <x:c r="F12" s="19" t="n">
        <x:f>IF('Static Raw'!N5='Static Raw'!N13,1,0)</x:f>
        <x:v>0</x:v>
      </x:c>
      <x:c r="G12" s="19" t="n">
        <x:f>IF('Static Raw'!P5='Static Raw'!P13,1,0)</x:f>
        <x:v>0</x:v>
      </x:c>
      <x:c r="H12" s="19" t="n">
        <x:f>IF('Static Raw'!R5='Static Raw'!R13,1,0)</x:f>
        <x:v>0</x:v>
      </x:c>
      <x:c r="I12" s="19" t="n">
        <x:f>1-(F12+G12+H12)/3</x:f>
        <x:v>1</x:v>
      </x:c>
      <x:c r="J12" s="19" t="n">
        <x:f>SUMPRODUCT('Static Raw'!I5:M5,'Static Raw'!I13:M13)/(SQRT(SUMSQ('Static Raw'!I5:M5))*SQRT(SUMSQ('Static Raw'!I13:M13)))</x:f>
        <x:v>0.6363884887672152</x:v>
      </x:c>
      <x:c r="K12" s="19" t="n">
        <x:f>1-J12</x:f>
        <x:v>0.3636115112327848</x:v>
      </x:c>
    </x:row>
    <x:row r="13">
      <x:c r="A13" s="16" t="str">
        <x:v>Player_01 vs Player_10</x:v>
      </x:c>
      <x:c r="B13" s="16" t="str">
        <x:f>'Static Raw'!C5</x:f>
        <x:v>Player_01</x:v>
      </x:c>
      <x:c r="C13" s="16" t="str">
        <x:f>'Static Raw'!C14</x:f>
        <x:v>Player_10</x:v>
      </x:c>
      <x:c r="D13" s="16" t="str">
        <x:f>'Static Raw'!E5</x:f>
        <x:v>Ice</x:v>
      </x:c>
      <x:c r="E13" s="16" t="str">
        <x:f>'Static Raw'!E14</x:f>
        <x:v>Neutral</x:v>
      </x:c>
      <x:c r="F13" s="19" t="n">
        <x:f>IF('Static Raw'!N5='Static Raw'!N14,1,0)</x:f>
        <x:v>0</x:v>
      </x:c>
      <x:c r="G13" s="19" t="n">
        <x:f>IF('Static Raw'!P5='Static Raw'!P14,1,0)</x:f>
        <x:v>1</x:v>
      </x:c>
      <x:c r="H13" s="19" t="n">
        <x:f>IF('Static Raw'!R5='Static Raw'!R14,1,0)</x:f>
        <x:v>0</x:v>
      </x:c>
      <x:c r="I13" s="19" t="n">
        <x:f>1-(F13+G13+H13)/3</x:f>
        <x:v>0.6666666666666667</x:v>
      </x:c>
      <x:c r="J13" s="19" t="n">
        <x:f>SUMPRODUCT('Static Raw'!I5:M5,'Static Raw'!I14:M14)/(SQRT(SUMSQ('Static Raw'!I5:M5))*SQRT(SUMSQ('Static Raw'!I14:M14)))</x:f>
        <x:v>0.8579570819971825</x:v>
      </x:c>
      <x:c r="K13" s="19" t="n">
        <x:f>1-J13</x:f>
        <x:v>0.14204291800281754</x:v>
      </x:c>
    </x:row>
    <x:row r="14">
      <x:c r="A14" s="16" t="str">
        <x:v>Player_01 vs Player_11</x:v>
      </x:c>
      <x:c r="B14" s="16" t="str">
        <x:f>'Static Raw'!C5</x:f>
        <x:v>Player_01</x:v>
      </x:c>
      <x:c r="C14" s="16" t="str">
        <x:f>'Static Raw'!C15</x:f>
        <x:v>Player_11</x:v>
      </x:c>
      <x:c r="D14" s="16" t="str">
        <x:f>'Static Raw'!E5</x:f>
        <x:v>Ice</x:v>
      </x:c>
      <x:c r="E14" s="16" t="str">
        <x:f>'Static Raw'!E15</x:f>
        <x:v>Forest</x:v>
      </x:c>
      <x:c r="F14" s="19" t="n">
        <x:f>IF('Static Raw'!N5='Static Raw'!N15,1,0)</x:f>
        <x:v>0</x:v>
      </x:c>
      <x:c r="G14" s="19" t="n">
        <x:f>IF('Static Raw'!P5='Static Raw'!P15,1,0)</x:f>
        <x:v>0</x:v>
      </x:c>
      <x:c r="H14" s="19" t="n">
        <x:f>IF('Static Raw'!R5='Static Raw'!R15,1,0)</x:f>
        <x:v>0</x:v>
      </x:c>
      <x:c r="I14" s="19" t="n">
        <x:f>1-(F14+G14+H14)/3</x:f>
        <x:v>1</x:v>
      </x:c>
      <x:c r="J14" s="19" t="n">
        <x:f>SUMPRODUCT('Static Raw'!I5:M5,'Static Raw'!I15:M15)/(SQRT(SUMSQ('Static Raw'!I5:M5))*SQRT(SUMSQ('Static Raw'!I15:M15)))</x:f>
        <x:v>0.22539443813451357</x:v>
      </x:c>
      <x:c r="K14" s="19" t="n">
        <x:f>1-J14</x:f>
        <x:v>0.7746055618654865</x:v>
      </x:c>
    </x:row>
    <x:row r="15">
      <x:c r="A15" s="16" t="str">
        <x:v>Player_01 vs Player_12</x:v>
      </x:c>
      <x:c r="B15" s="16" t="str">
        <x:f>'Static Raw'!C5</x:f>
        <x:v>Player_01</x:v>
      </x:c>
      <x:c r="C15" s="16" t="str">
        <x:f>'Static Raw'!C16</x:f>
        <x:v>Player_12</x:v>
      </x:c>
      <x:c r="D15" s="16" t="str">
        <x:f>'Static Raw'!E5</x:f>
        <x:v>Ice</x:v>
      </x:c>
      <x:c r="E15" s="16" t="str">
        <x:f>'Static Raw'!E16</x:f>
        <x:v>Neutral</x:v>
      </x:c>
      <x:c r="F15" s="19" t="n">
        <x:f>IF('Static Raw'!N5='Static Raw'!N16,1,0)</x:f>
        <x:v>0</x:v>
      </x:c>
      <x:c r="G15" s="19" t="n">
        <x:f>IF('Static Raw'!P5='Static Raw'!P16,1,0)</x:f>
        <x:v>0</x:v>
      </x:c>
      <x:c r="H15" s="19" t="n">
        <x:f>IF('Static Raw'!R5='Static Raw'!R16,1,0)</x:f>
        <x:v>0</x:v>
      </x:c>
      <x:c r="I15" s="19" t="n">
        <x:f>1-(F15+G15+H15)/3</x:f>
        <x:v>1</x:v>
      </x:c>
      <x:c r="J15" s="19" t="n">
        <x:f>SUMPRODUCT('Static Raw'!I5:M5,'Static Raw'!I16:M16)/(SQRT(SUMSQ('Static Raw'!I5:M5))*SQRT(SUMSQ('Static Raw'!I16:M16)))</x:f>
        <x:v>0.10568858901515062</x:v>
      </x:c>
      <x:c r="K15" s="19" t="n">
        <x:f>1-J15</x:f>
        <x:v>0.8943114109848493</x:v>
      </x:c>
    </x:row>
    <x:row r="16">
      <x:c r="A16" s="16" t="str">
        <x:v>Player_02 vs Player_03</x:v>
      </x:c>
      <x:c r="B16" s="16" t="str">
        <x:f>'Static Raw'!C6</x:f>
        <x:v>Player_02</x:v>
      </x:c>
      <x:c r="C16" s="16" t="str">
        <x:f>'Static Raw'!C7</x:f>
        <x:v>Player_03</x:v>
      </x:c>
      <x:c r="D16" s="16" t="str">
        <x:f>'Static Raw'!E6</x:f>
        <x:v>Galaxy</x:v>
      </x:c>
      <x:c r="E16" s="16" t="str">
        <x:f>'Static Raw'!E7</x:f>
        <x:v>Holy</x:v>
      </x:c>
      <x:c r="F16" s="19" t="n">
        <x:f>IF('Static Raw'!N6='Static Raw'!N7,1,0)</x:f>
        <x:v>0</x:v>
      </x:c>
      <x:c r="G16" s="19" t="n">
        <x:f>IF('Static Raw'!P6='Static Raw'!P7,1,0)</x:f>
        <x:v>0</x:v>
      </x:c>
      <x:c r="H16" s="19" t="n">
        <x:f>IF('Static Raw'!R6='Static Raw'!R7,1,0)</x:f>
        <x:v>0</x:v>
      </x:c>
      <x:c r="I16" s="19" t="n">
        <x:f>1-(F16+G16+H16)/3</x:f>
        <x:v>1</x:v>
      </x:c>
      <x:c r="J16" s="19" t="n">
        <x:f>SUMPRODUCT('Static Raw'!I6:M6,'Static Raw'!I7:M7)/(SQRT(SUMSQ('Static Raw'!I6:M6))*SQRT(SUMSQ('Static Raw'!I7:M7)))</x:f>
        <x:v>0.43676467602651986</x:v>
      </x:c>
      <x:c r="K16" s="19" t="n">
        <x:f>1-J16</x:f>
        <x:v>0.5632353239734802</x:v>
      </x:c>
    </x:row>
    <x:row r="17">
      <x:c r="A17" s="16" t="str">
        <x:v>Player_02 vs Player_04</x:v>
      </x:c>
      <x:c r="B17" s="16" t="str">
        <x:f>'Static Raw'!C6</x:f>
        <x:v>Player_02</x:v>
      </x:c>
      <x:c r="C17" s="16" t="str">
        <x:f>'Static Raw'!C8</x:f>
        <x:v>Player_04</x:v>
      </x:c>
      <x:c r="D17" s="16" t="str">
        <x:f>'Static Raw'!E6</x:f>
        <x:v>Galaxy</x:v>
      </x:c>
      <x:c r="E17" s="16" t="str">
        <x:f>'Static Raw'!E8</x:f>
        <x:v>Neutral</x:v>
      </x:c>
      <x:c r="F17" s="19" t="n">
        <x:f>IF('Static Raw'!N6='Static Raw'!N8,1,0)</x:f>
        <x:v>0</x:v>
      </x:c>
      <x:c r="G17" s="19" t="n">
        <x:f>IF('Static Raw'!P6='Static Raw'!P8,1,0)</x:f>
        <x:v>1</x:v>
      </x:c>
      <x:c r="H17" s="19" t="n">
        <x:f>IF('Static Raw'!R6='Static Raw'!R8,1,0)</x:f>
        <x:v>0</x:v>
      </x:c>
      <x:c r="I17" s="19" t="n">
        <x:f>1-(F17+G17+H17)/3</x:f>
        <x:v>0.6666666666666667</x:v>
      </x:c>
      <x:c r="J17" s="19" t="n">
        <x:f>SUMPRODUCT('Static Raw'!I6:M6,'Static Raw'!I8:M8)/(SQRT(SUMSQ('Static Raw'!I6:M6))*SQRT(SUMSQ('Static Raw'!I8:M8)))</x:f>
        <x:v>0.5266399789655941</x:v>
      </x:c>
      <x:c r="K17" s="19" t="n">
        <x:f>1-J17</x:f>
        <x:v>0.4733600210344059</x:v>
      </x:c>
    </x:row>
    <x:row r="18">
      <x:c r="A18" s="16" t="str">
        <x:v>Player_02 vs Player_05</x:v>
      </x:c>
      <x:c r="B18" s="16" t="str">
        <x:f>'Static Raw'!C6</x:f>
        <x:v>Player_02</x:v>
      </x:c>
      <x:c r="C18" s="16" t="str">
        <x:f>'Static Raw'!C9</x:f>
        <x:v>Player_05</x:v>
      </x:c>
      <x:c r="D18" s="16" t="str">
        <x:f>'Static Raw'!E6</x:f>
        <x:v>Galaxy</x:v>
      </x:c>
      <x:c r="E18" s="16" t="str">
        <x:f>'Static Raw'!E9</x:f>
        <x:v>Neutral</x:v>
      </x:c>
      <x:c r="F18" s="19" t="n">
        <x:f>IF('Static Raw'!N6='Static Raw'!N9,1,0)</x:f>
        <x:v>0</x:v>
      </x:c>
      <x:c r="G18" s="19" t="n">
        <x:f>IF('Static Raw'!P6='Static Raw'!P9,1,0)</x:f>
        <x:v>0</x:v>
      </x:c>
      <x:c r="H18" s="19" t="n">
        <x:f>IF('Static Raw'!R6='Static Raw'!R9,1,0)</x:f>
        <x:v>0</x:v>
      </x:c>
      <x:c r="I18" s="19" t="n">
        <x:f>1-(F18+G18+H18)/3</x:f>
        <x:v>1</x:v>
      </x:c>
      <x:c r="J18" s="19" t="n">
        <x:f>SUMPRODUCT('Static Raw'!I6:M6,'Static Raw'!I9:M9)/(SQRT(SUMSQ('Static Raw'!I6:M6))*SQRT(SUMSQ('Static Raw'!I9:M9)))</x:f>
        <x:v>0.20607120293571188</x:v>
      </x:c>
      <x:c r="K18" s="19" t="n">
        <x:f>1-J18</x:f>
        <x:v>0.7939287970642881</x:v>
      </x:c>
    </x:row>
    <x:row r="19">
      <x:c r="A19" s="16" t="str">
        <x:v>Player_02 vs Player_06</x:v>
      </x:c>
      <x:c r="B19" s="16" t="str">
        <x:f>'Static Raw'!C6</x:f>
        <x:v>Player_02</x:v>
      </x:c>
      <x:c r="C19" s="16" t="str">
        <x:f>'Static Raw'!C10</x:f>
        <x:v>Player_06</x:v>
      </x:c>
      <x:c r="D19" s="16" t="str">
        <x:f>'Static Raw'!E6</x:f>
        <x:v>Galaxy</x:v>
      </x:c>
      <x:c r="E19" s="16" t="str">
        <x:f>'Static Raw'!E10</x:f>
        <x:v>Ocean</x:v>
      </x:c>
      <x:c r="F19" s="19" t="n">
        <x:f>IF('Static Raw'!N6='Static Raw'!N10,1,0)</x:f>
        <x:v>0</x:v>
      </x:c>
      <x:c r="G19" s="19" t="n">
        <x:f>IF('Static Raw'!P6='Static Raw'!P10,1,0)</x:f>
        <x:v>0</x:v>
      </x:c>
      <x:c r="H19" s="19" t="n">
        <x:f>IF('Static Raw'!R6='Static Raw'!R10,1,0)</x:f>
        <x:v>0</x:v>
      </x:c>
      <x:c r="I19" s="19" t="n">
        <x:f>1-(F19+G19+H19)/3</x:f>
        <x:v>1</x:v>
      </x:c>
      <x:c r="J19" s="19" t="n">
        <x:f>SUMPRODUCT('Static Raw'!I6:M6,'Static Raw'!I10:M10)/(SQRT(SUMSQ('Static Raw'!I6:M6))*SQRT(SUMSQ('Static Raw'!I10:M10)))</x:f>
        <x:v>0.13753965333541204</x:v>
      </x:c>
      <x:c r="K19" s="19" t="n">
        <x:f>1-J19</x:f>
        <x:v>0.8624603466645879</x:v>
      </x:c>
    </x:row>
    <x:row r="20">
      <x:c r="A20" s="16" t="str">
        <x:v>Player_02 vs Player_07</x:v>
      </x:c>
      <x:c r="B20" s="16" t="str">
        <x:f>'Static Raw'!C6</x:f>
        <x:v>Player_02</x:v>
      </x:c>
      <x:c r="C20" s="16" t="str">
        <x:f>'Static Raw'!C11</x:f>
        <x:v>Player_07</x:v>
      </x:c>
      <x:c r="D20" s="16" t="str">
        <x:f>'Static Raw'!E6</x:f>
        <x:v>Galaxy</x:v>
      </x:c>
      <x:c r="E20" s="16" t="str">
        <x:f>'Static Raw'!E11</x:f>
        <x:v>Galaxy</x:v>
      </x:c>
      <x:c r="F20" s="19" t="n">
        <x:f>IF('Static Raw'!N6='Static Raw'!N11,1,0)</x:f>
        <x:v>0</x:v>
      </x:c>
      <x:c r="G20" s="19" t="n">
        <x:f>IF('Static Raw'!P6='Static Raw'!P11,1,0)</x:f>
        <x:v>0</x:v>
      </x:c>
      <x:c r="H20" s="19" t="n">
        <x:f>IF('Static Raw'!R6='Static Raw'!R11,1,0)</x:f>
        <x:v>1</x:v>
      </x:c>
      <x:c r="I20" s="19" t="n">
        <x:f>1-(F20+G20+H20)/3</x:f>
        <x:v>0.6666666666666667</x:v>
      </x:c>
      <x:c r="J20" s="19" t="n">
        <x:f>SUMPRODUCT('Static Raw'!I6:M6,'Static Raw'!I11:M11)/(SQRT(SUMSQ('Static Raw'!I6:M6))*SQRT(SUMSQ('Static Raw'!I11:M11)))</x:f>
        <x:v>0.9427378055651272</x:v>
      </x:c>
      <x:c r="K20" s="19" t="n">
        <x:f>1-J20</x:f>
        <x:v>0.05726219443487279</x:v>
      </x:c>
    </x:row>
    <x:row r="21">
      <x:c r="A21" s="16" t="str">
        <x:v>Player_02 vs Player_08</x:v>
      </x:c>
      <x:c r="B21" s="16" t="str">
        <x:f>'Static Raw'!C6</x:f>
        <x:v>Player_02</x:v>
      </x:c>
      <x:c r="C21" s="16" t="str">
        <x:f>'Static Raw'!C12</x:f>
        <x:v>Player_08</x:v>
      </x:c>
      <x:c r="D21" s="16" t="str">
        <x:f>'Static Raw'!E6</x:f>
        <x:v>Galaxy</x:v>
      </x:c>
      <x:c r="E21" s="16" t="str">
        <x:f>'Static Raw'!E12</x:f>
        <x:v>Forest</x:v>
      </x:c>
      <x:c r="F21" s="19" t="n">
        <x:f>IF('Static Raw'!N6='Static Raw'!N12,1,0)</x:f>
        <x:v>0</x:v>
      </x:c>
      <x:c r="G21" s="19" t="n">
        <x:f>IF('Static Raw'!P6='Static Raw'!P12,1,0)</x:f>
        <x:v>0</x:v>
      </x:c>
      <x:c r="H21" s="19" t="n">
        <x:f>IF('Static Raw'!R6='Static Raw'!R12,1,0)</x:f>
        <x:v>0</x:v>
      </x:c>
      <x:c r="I21" s="19" t="n">
        <x:f>1-(F21+G21+H21)/3</x:f>
        <x:v>1</x:v>
      </x:c>
      <x:c r="J21" s="19" t="n">
        <x:f>SUMPRODUCT('Static Raw'!I6:M6,'Static Raw'!I12:M12)/(SQRT(SUMSQ('Static Raw'!I6:M6))*SQRT(SUMSQ('Static Raw'!I12:M12)))</x:f>
        <x:v>0.21802100365779867</x:v>
      </x:c>
      <x:c r="K21" s="19" t="n">
        <x:f>1-J21</x:f>
        <x:v>0.7819789963422014</x:v>
      </x:c>
    </x:row>
    <x:row r="22">
      <x:c r="A22" s="16" t="str">
        <x:v>Player_02 vs Player_09</x:v>
      </x:c>
      <x:c r="B22" s="16" t="str">
        <x:f>'Static Raw'!C6</x:f>
        <x:v>Player_02</x:v>
      </x:c>
      <x:c r="C22" s="16" t="str">
        <x:f>'Static Raw'!C13</x:f>
        <x:v>Player_09</x:v>
      </x:c>
      <x:c r="D22" s="16" t="str">
        <x:f>'Static Raw'!E6</x:f>
        <x:v>Galaxy</x:v>
      </x:c>
      <x:c r="E22" s="16" t="str">
        <x:f>'Static Raw'!E13</x:f>
        <x:v>Neutral</x:v>
      </x:c>
      <x:c r="F22" s="19" t="n">
        <x:f>IF('Static Raw'!N6='Static Raw'!N13,1,0)</x:f>
        <x:v>1</x:v>
      </x:c>
      <x:c r="G22" s="19" t="n">
        <x:f>IF('Static Raw'!P6='Static Raw'!P13,1,0)</x:f>
        <x:v>1</x:v>
      </x:c>
      <x:c r="H22" s="19" t="n">
        <x:f>IF('Static Raw'!R6='Static Raw'!R13,1,0)</x:f>
        <x:v>0</x:v>
      </x:c>
      <x:c r="I22" s="19" t="n">
        <x:f>1-(F22+G22+H22)/3</x:f>
        <x:v>0.33333333333333337</x:v>
      </x:c>
      <x:c r="J22" s="19" t="n">
        <x:f>SUMPRODUCT('Static Raw'!I6:M6,'Static Raw'!I13:M13)/(SQRT(SUMSQ('Static Raw'!I6:M6))*SQRT(SUMSQ('Static Raw'!I13:M13)))</x:f>
        <x:v>0.8197749552789836</x:v>
      </x:c>
      <x:c r="K22" s="19" t="n">
        <x:f>1-J22</x:f>
        <x:v>0.18022504472101641</x:v>
      </x:c>
    </x:row>
    <x:row r="23">
      <x:c r="A23" s="16" t="str">
        <x:v>Player_02 vs Player_10</x:v>
      </x:c>
      <x:c r="B23" s="16" t="str">
        <x:f>'Static Raw'!C6</x:f>
        <x:v>Player_02</x:v>
      </x:c>
      <x:c r="C23" s="16" t="str">
        <x:f>'Static Raw'!C14</x:f>
        <x:v>Player_10</x:v>
      </x:c>
      <x:c r="D23" s="16" t="str">
        <x:f>'Static Raw'!E6</x:f>
        <x:v>Galaxy</x:v>
      </x:c>
      <x:c r="E23" s="16" t="str">
        <x:f>'Static Raw'!E14</x:f>
        <x:v>Neutral</x:v>
      </x:c>
      <x:c r="F23" s="19" t="n">
        <x:f>IF('Static Raw'!N6='Static Raw'!N14,1,0)</x:f>
        <x:v>0</x:v>
      </x:c>
      <x:c r="G23" s="19" t="n">
        <x:f>IF('Static Raw'!P6='Static Raw'!P14,1,0)</x:f>
        <x:v>0</x:v>
      </x:c>
      <x:c r="H23" s="19" t="n">
        <x:f>IF('Static Raw'!R6='Static Raw'!R14,1,0)</x:f>
        <x:v>0</x:v>
      </x:c>
      <x:c r="I23" s="19" t="n">
        <x:f>1-(F23+G23+H23)/3</x:f>
        <x:v>1</x:v>
      </x:c>
      <x:c r="J23" s="19" t="n">
        <x:f>SUMPRODUCT('Static Raw'!I6:M6,'Static Raw'!I14:M14)/(SQRT(SUMSQ('Static Raw'!I6:M6))*SQRT(SUMSQ('Static Raw'!I14:M14)))</x:f>
        <x:v>0.36930567632748673</x:v>
      </x:c>
      <x:c r="K23" s="19" t="n">
        <x:f>1-J23</x:f>
        <x:v>0.6306943236725133</x:v>
      </x:c>
    </x:row>
    <x:row r="24">
      <x:c r="A24" s="16" t="str">
        <x:v>Player_02 vs Player_11</x:v>
      </x:c>
      <x:c r="B24" s="16" t="str">
        <x:f>'Static Raw'!C6</x:f>
        <x:v>Player_02</x:v>
      </x:c>
      <x:c r="C24" s="16" t="str">
        <x:f>'Static Raw'!C15</x:f>
        <x:v>Player_11</x:v>
      </x:c>
      <x:c r="D24" s="16" t="str">
        <x:f>'Static Raw'!E6</x:f>
        <x:v>Galaxy</x:v>
      </x:c>
      <x:c r="E24" s="16" t="str">
        <x:f>'Static Raw'!E15</x:f>
        <x:v>Forest</x:v>
      </x:c>
      <x:c r="F24" s="19" t="n">
        <x:f>IF('Static Raw'!N6='Static Raw'!N15,1,0)</x:f>
        <x:v>0</x:v>
      </x:c>
      <x:c r="G24" s="19" t="n">
        <x:f>IF('Static Raw'!P6='Static Raw'!P15,1,0)</x:f>
        <x:v>0</x:v>
      </x:c>
      <x:c r="H24" s="19" t="n">
        <x:f>IF('Static Raw'!R6='Static Raw'!R15,1,0)</x:f>
        <x:v>0</x:v>
      </x:c>
      <x:c r="I24" s="19" t="n">
        <x:f>1-(F24+G24+H24)/3</x:f>
        <x:v>1</x:v>
      </x:c>
      <x:c r="J24" s="19" t="n">
        <x:f>SUMPRODUCT('Static Raw'!I6:M6,'Static Raw'!I15:M15)/(SQRT(SUMSQ('Static Raw'!I6:M6))*SQRT(SUMSQ('Static Raw'!I15:M15)))</x:f>
        <x:v>0.2210599577712876</x:v>
      </x:c>
      <x:c r="K24" s="19" t="n">
        <x:f>1-J24</x:f>
        <x:v>0.7789400422287124</x:v>
      </x:c>
    </x:row>
    <x:row r="25">
      <x:c r="A25" s="16" t="str">
        <x:v>Player_02 vs Player_12</x:v>
      </x:c>
      <x:c r="B25" s="16" t="str">
        <x:f>'Static Raw'!C6</x:f>
        <x:v>Player_02</x:v>
      </x:c>
      <x:c r="C25" s="16" t="str">
        <x:f>'Static Raw'!C16</x:f>
        <x:v>Player_12</x:v>
      </x:c>
      <x:c r="D25" s="16" t="str">
        <x:f>'Static Raw'!E6</x:f>
        <x:v>Galaxy</x:v>
      </x:c>
      <x:c r="E25" s="16" t="str">
        <x:f>'Static Raw'!E16</x:f>
        <x:v>Neutral</x:v>
      </x:c>
      <x:c r="F25" s="19" t="n">
        <x:f>IF('Static Raw'!N6='Static Raw'!N16,1,0)</x:f>
        <x:v>0</x:v>
      </x:c>
      <x:c r="G25" s="19" t="n">
        <x:f>IF('Static Raw'!P6='Static Raw'!P16,1,0)</x:f>
        <x:v>0</x:v>
      </x:c>
      <x:c r="H25" s="19" t="n">
        <x:f>IF('Static Raw'!R6='Static Raw'!R16,1,0)</x:f>
        <x:v>0</x:v>
      </x:c>
      <x:c r="I25" s="19" t="n">
        <x:f>1-(F25+G25+H25)/3</x:f>
        <x:v>1</x:v>
      </x:c>
      <x:c r="J25" s="19" t="n">
        <x:f>SUMPRODUCT('Static Raw'!I6:M6,'Static Raw'!I16:M16)/(SQRT(SUMSQ('Static Raw'!I6:M6))*SQRT(SUMSQ('Static Raw'!I16:M16)))</x:f>
        <x:v>0.18929057166745034</x:v>
      </x:c>
      <x:c r="K25" s="19" t="n">
        <x:f>1-J25</x:f>
        <x:v>0.8107094283325497</x:v>
      </x:c>
    </x:row>
    <x:row r="26">
      <x:c r="A26" s="16" t="str">
        <x:v>Player_03 vs Player_04</x:v>
      </x:c>
      <x:c r="B26" s="16" t="str">
        <x:f>'Static Raw'!C7</x:f>
        <x:v>Player_03</x:v>
      </x:c>
      <x:c r="C26" s="16" t="str">
        <x:f>'Static Raw'!C8</x:f>
        <x:v>Player_04</x:v>
      </x:c>
      <x:c r="D26" s="16" t="str">
        <x:f>'Static Raw'!E7</x:f>
        <x:v>Holy</x:v>
      </x:c>
      <x:c r="E26" s="16" t="str">
        <x:f>'Static Raw'!E8</x:f>
        <x:v>Neutral</x:v>
      </x:c>
      <x:c r="F26" s="19" t="n">
        <x:f>IF('Static Raw'!N7='Static Raw'!N8,1,0)</x:f>
        <x:v>0</x:v>
      </x:c>
      <x:c r="G26" s="19" t="n">
        <x:f>IF('Static Raw'!P7='Static Raw'!P8,1,0)</x:f>
        <x:v>0</x:v>
      </x:c>
      <x:c r="H26" s="19" t="n">
        <x:f>IF('Static Raw'!R7='Static Raw'!R8,1,0)</x:f>
        <x:v>0</x:v>
      </x:c>
      <x:c r="I26" s="19" t="n">
        <x:f>1-(F26+G26+H26)/3</x:f>
        <x:v>1</x:v>
      </x:c>
      <x:c r="J26" s="19" t="n">
        <x:f>SUMPRODUCT('Static Raw'!I7:M7,'Static Raw'!I8:M8)/(SQRT(SUMSQ('Static Raw'!I7:M7))*SQRT(SUMSQ('Static Raw'!I8:M8)))</x:f>
        <x:v>0.5596530223094671</x:v>
      </x:c>
      <x:c r="K26" s="19" t="n">
        <x:f>1-J26</x:f>
        <x:v>0.4403469776905329</x:v>
      </x:c>
    </x:row>
    <x:row r="27">
      <x:c r="A27" s="16" t="str">
        <x:v>Player_03 vs Player_05</x:v>
      </x:c>
      <x:c r="B27" s="16" t="str">
        <x:f>'Static Raw'!C7</x:f>
        <x:v>Player_03</x:v>
      </x:c>
      <x:c r="C27" s="16" t="str">
        <x:f>'Static Raw'!C9</x:f>
        <x:v>Player_05</x:v>
      </x:c>
      <x:c r="D27" s="16" t="str">
        <x:f>'Static Raw'!E7</x:f>
        <x:v>Holy</x:v>
      </x:c>
      <x:c r="E27" s="16" t="str">
        <x:f>'Static Raw'!E9</x:f>
        <x:v>Neutral</x:v>
      </x:c>
      <x:c r="F27" s="19" t="n">
        <x:f>IF('Static Raw'!N7='Static Raw'!N9,1,0)</x:f>
        <x:v>0</x:v>
      </x:c>
      <x:c r="G27" s="19" t="n">
        <x:f>IF('Static Raw'!P7='Static Raw'!P9,1,0)</x:f>
        <x:v>0</x:v>
      </x:c>
      <x:c r="H27" s="19" t="n">
        <x:f>IF('Static Raw'!R7='Static Raw'!R9,1,0)</x:f>
        <x:v>0</x:v>
      </x:c>
      <x:c r="I27" s="19" t="n">
        <x:f>1-(F27+G27+H27)/3</x:f>
        <x:v>1</x:v>
      </x:c>
      <x:c r="J27" s="19" t="n">
        <x:f>SUMPRODUCT('Static Raw'!I7:M7,'Static Raw'!I9:M9)/(SQRT(SUMSQ('Static Raw'!I7:M7))*SQRT(SUMSQ('Static Raw'!I9:M9)))</x:f>
        <x:v>0.12452376335307086</x:v>
      </x:c>
      <x:c r="K27" s="19" t="n">
        <x:f>1-J27</x:f>
        <x:v>0.8754762366469291</x:v>
      </x:c>
    </x:row>
    <x:row r="28">
      <x:c r="A28" s="16" t="str">
        <x:v>Player_03 vs Player_06</x:v>
      </x:c>
      <x:c r="B28" s="16" t="str">
        <x:f>'Static Raw'!C7</x:f>
        <x:v>Player_03</x:v>
      </x:c>
      <x:c r="C28" s="16" t="str">
        <x:f>'Static Raw'!C10</x:f>
        <x:v>Player_06</x:v>
      </x:c>
      <x:c r="D28" s="16" t="str">
        <x:f>'Static Raw'!E7</x:f>
        <x:v>Holy</x:v>
      </x:c>
      <x:c r="E28" s="16" t="str">
        <x:f>'Static Raw'!E10</x:f>
        <x:v>Ocean</x:v>
      </x:c>
      <x:c r="F28" s="19" t="n">
        <x:f>IF('Static Raw'!N7='Static Raw'!N10,1,0)</x:f>
        <x:v>1</x:v>
      </x:c>
      <x:c r="G28" s="19" t="n">
        <x:f>IF('Static Raw'!P7='Static Raw'!P10,1,0)</x:f>
        <x:v>0</x:v>
      </x:c>
      <x:c r="H28" s="19" t="n">
        <x:f>IF('Static Raw'!R7='Static Raw'!R10,1,0)</x:f>
        <x:v>0</x:v>
      </x:c>
      <x:c r="I28" s="19" t="n">
        <x:f>1-(F28+G28+H28)/3</x:f>
        <x:v>0.6666666666666667</x:v>
      </x:c>
      <x:c r="J28" s="19" t="n">
        <x:f>SUMPRODUCT('Static Raw'!I7:M7,'Static Raw'!I10:M10)/(SQRT(SUMSQ('Static Raw'!I7:M7))*SQRT(SUMSQ('Static Raw'!I10:M10)))</x:f>
        <x:v>0.3684794631778899</x:v>
      </x:c>
      <x:c r="K28" s="19" t="n">
        <x:f>1-J28</x:f>
        <x:v>0.6315205368221102</x:v>
      </x:c>
    </x:row>
    <x:row r="29">
      <x:c r="A29" s="16" t="str">
        <x:v>Player_03 vs Player_07</x:v>
      </x:c>
      <x:c r="B29" s="16" t="str">
        <x:f>'Static Raw'!C7</x:f>
        <x:v>Player_03</x:v>
      </x:c>
      <x:c r="C29" s="16" t="str">
        <x:f>'Static Raw'!C11</x:f>
        <x:v>Player_07</x:v>
      </x:c>
      <x:c r="D29" s="16" t="str">
        <x:f>'Static Raw'!E7</x:f>
        <x:v>Holy</x:v>
      </x:c>
      <x:c r="E29" s="16" t="str">
        <x:f>'Static Raw'!E11</x:f>
        <x:v>Galaxy</x:v>
      </x:c>
      <x:c r="F29" s="19" t="n">
        <x:f>IF('Static Raw'!N7='Static Raw'!N11,1,0)</x:f>
        <x:v>0</x:v>
      </x:c>
      <x:c r="G29" s="19" t="n">
        <x:f>IF('Static Raw'!P7='Static Raw'!P11,1,0)</x:f>
        <x:v>1</x:v>
      </x:c>
      <x:c r="H29" s="19" t="n">
        <x:f>IF('Static Raw'!R7='Static Raw'!R11,1,0)</x:f>
        <x:v>0</x:v>
      </x:c>
      <x:c r="I29" s="19" t="n">
        <x:f>1-(F29+G29+H29)/3</x:f>
        <x:v>0.6666666666666667</x:v>
      </x:c>
      <x:c r="J29" s="19" t="n">
        <x:f>SUMPRODUCT('Static Raw'!I7:M7,'Static Raw'!I11:M11)/(SQRT(SUMSQ('Static Raw'!I7:M7))*SQRT(SUMSQ('Static Raw'!I11:M11)))</x:f>
        <x:v>0.5667542948862155</x:v>
      </x:c>
      <x:c r="K29" s="19" t="n">
        <x:f>1-J29</x:f>
        <x:v>0.43324570511378446</x:v>
      </x:c>
    </x:row>
    <x:row r="30">
      <x:c r="A30" s="16" t="str">
        <x:v>Player_03 vs Player_08</x:v>
      </x:c>
      <x:c r="B30" s="16" t="str">
        <x:f>'Static Raw'!C7</x:f>
        <x:v>Player_03</x:v>
      </x:c>
      <x:c r="C30" s="16" t="str">
        <x:f>'Static Raw'!C12</x:f>
        <x:v>Player_08</x:v>
      </x:c>
      <x:c r="D30" s="16" t="str">
        <x:f>'Static Raw'!E7</x:f>
        <x:v>Holy</x:v>
      </x:c>
      <x:c r="E30" s="16" t="str">
        <x:f>'Static Raw'!E12</x:f>
        <x:v>Forest</x:v>
      </x:c>
      <x:c r="F30" s="19" t="n">
        <x:f>IF('Static Raw'!N7='Static Raw'!N12,1,0)</x:f>
        <x:v>0</x:v>
      </x:c>
      <x:c r="G30" s="19" t="n">
        <x:f>IF('Static Raw'!P7='Static Raw'!P12,1,0)</x:f>
        <x:v>0</x:v>
      </x:c>
      <x:c r="H30" s="19" t="n">
        <x:f>IF('Static Raw'!R7='Static Raw'!R12,1,0)</x:f>
        <x:v>0</x:v>
      </x:c>
      <x:c r="I30" s="19" t="n">
        <x:f>1-(F30+G30+H30)/3</x:f>
        <x:v>1</x:v>
      </x:c>
      <x:c r="J30" s="19" t="n">
        <x:f>SUMPRODUCT('Static Raw'!I7:M7,'Static Raw'!I12:M12)/(SQRT(SUMSQ('Static Raw'!I7:M7))*SQRT(SUMSQ('Static Raw'!I12:M12)))</x:f>
        <x:v>0.29036714239401507</x:v>
      </x:c>
      <x:c r="K30" s="19" t="n">
        <x:f>1-J30</x:f>
        <x:v>0.7096328576059849</x:v>
      </x:c>
    </x:row>
    <x:row r="31">
      <x:c r="A31" s="16" t="str">
        <x:v>Player_03 vs Player_09</x:v>
      </x:c>
      <x:c r="B31" s="16" t="str">
        <x:f>'Static Raw'!C7</x:f>
        <x:v>Player_03</x:v>
      </x:c>
      <x:c r="C31" s="16" t="str">
        <x:f>'Static Raw'!C13</x:f>
        <x:v>Player_09</x:v>
      </x:c>
      <x:c r="D31" s="16" t="str">
        <x:f>'Static Raw'!E7</x:f>
        <x:v>Holy</x:v>
      </x:c>
      <x:c r="E31" s="16" t="str">
        <x:f>'Static Raw'!E13</x:f>
        <x:v>Neutral</x:v>
      </x:c>
      <x:c r="F31" s="19" t="n">
        <x:f>IF('Static Raw'!N7='Static Raw'!N13,1,0)</x:f>
        <x:v>0</x:v>
      </x:c>
      <x:c r="G31" s="19" t="n">
        <x:f>IF('Static Raw'!P7='Static Raw'!P13,1,0)</x:f>
        <x:v>0</x:v>
      </x:c>
      <x:c r="H31" s="19" t="n">
        <x:f>IF('Static Raw'!R7='Static Raw'!R13,1,0)</x:f>
        <x:v>0</x:v>
      </x:c>
      <x:c r="I31" s="19" t="n">
        <x:f>1-(F31+G31+H31)/3</x:f>
        <x:v>1</x:v>
      </x:c>
      <x:c r="J31" s="19" t="n">
        <x:f>SUMPRODUCT('Static Raw'!I7:M7,'Static Raw'!I13:M13)/(SQRT(SUMSQ('Static Raw'!I7:M7))*SQRT(SUMSQ('Static Raw'!I13:M13)))</x:f>
        <x:v>0.625938566533029</x:v>
      </x:c>
      <x:c r="K31" s="19" t="n">
        <x:f>1-J31</x:f>
        <x:v>0.37406143346697096</x:v>
      </x:c>
    </x:row>
    <x:row r="32">
      <x:c r="A32" s="16" t="str">
        <x:v>Player_03 vs Player_10</x:v>
      </x:c>
      <x:c r="B32" s="16" t="str">
        <x:f>'Static Raw'!C7</x:f>
        <x:v>Player_03</x:v>
      </x:c>
      <x:c r="C32" s="16" t="str">
        <x:f>'Static Raw'!C14</x:f>
        <x:v>Player_10</x:v>
      </x:c>
      <x:c r="D32" s="16" t="str">
        <x:f>'Static Raw'!E7</x:f>
        <x:v>Holy</x:v>
      </x:c>
      <x:c r="E32" s="16" t="str">
        <x:f>'Static Raw'!E14</x:f>
        <x:v>Neutral</x:v>
      </x:c>
      <x:c r="F32" s="19" t="n">
        <x:f>IF('Static Raw'!N7='Static Raw'!N14,1,0)</x:f>
        <x:v>0</x:v>
      </x:c>
      <x:c r="G32" s="19" t="n">
        <x:f>IF('Static Raw'!P7='Static Raw'!P14,1,0)</x:f>
        <x:v>1</x:v>
      </x:c>
      <x:c r="H32" s="19" t="n">
        <x:f>IF('Static Raw'!R7='Static Raw'!R14,1,0)</x:f>
        <x:v>0</x:v>
      </x:c>
      <x:c r="I32" s="19" t="n">
        <x:f>1-(F32+G32+H32)/3</x:f>
        <x:v>0.6666666666666667</x:v>
      </x:c>
      <x:c r="J32" s="19" t="n">
        <x:f>SUMPRODUCT('Static Raw'!I7:M7,'Static Raw'!I14:M14)/(SQRT(SUMSQ('Static Raw'!I7:M7))*SQRT(SUMSQ('Static Raw'!I14:M14)))</x:f>
        <x:v>0.7418857500881514</x:v>
      </x:c>
      <x:c r="K32" s="19" t="n">
        <x:f>1-J32</x:f>
        <x:v>0.2581142499118486</x:v>
      </x:c>
    </x:row>
    <x:row r="33">
      <x:c r="A33" s="16" t="str">
        <x:v>Player_03 vs Player_11</x:v>
      </x:c>
      <x:c r="B33" s="16" t="str">
        <x:f>'Static Raw'!C7</x:f>
        <x:v>Player_03</x:v>
      </x:c>
      <x:c r="C33" s="16" t="str">
        <x:f>'Static Raw'!C15</x:f>
        <x:v>Player_11</x:v>
      </x:c>
      <x:c r="D33" s="16" t="str">
        <x:f>'Static Raw'!E7</x:f>
        <x:v>Holy</x:v>
      </x:c>
      <x:c r="E33" s="16" t="str">
        <x:f>'Static Raw'!E15</x:f>
        <x:v>Forest</x:v>
      </x:c>
      <x:c r="F33" s="19" t="n">
        <x:f>IF('Static Raw'!N7='Static Raw'!N15,1,0)</x:f>
        <x:v>0</x:v>
      </x:c>
      <x:c r="G33" s="19" t="n">
        <x:f>IF('Static Raw'!P7='Static Raw'!P15,1,0)</x:f>
        <x:v>0</x:v>
      </x:c>
      <x:c r="H33" s="19" t="n">
        <x:f>IF('Static Raw'!R7='Static Raw'!R15,1,0)</x:f>
        <x:v>0</x:v>
      </x:c>
      <x:c r="I33" s="19" t="n">
        <x:f>1-(F33+G33+H33)/3</x:f>
        <x:v>1</x:v>
      </x:c>
      <x:c r="J33" s="19" t="n">
        <x:f>SUMPRODUCT('Static Raw'!I7:M7,'Static Raw'!I15:M15)/(SQRT(SUMSQ('Static Raw'!I7:M7))*SQRT(SUMSQ('Static Raw'!I15:M15)))</x:f>
        <x:v>0.26866612216213653</x:v>
      </x:c>
      <x:c r="K33" s="19" t="n">
        <x:f>1-J33</x:f>
        <x:v>0.7313338778378635</x:v>
      </x:c>
    </x:row>
    <x:row r="34">
      <x:c r="A34" s="16" t="str">
        <x:v>Player_03 vs Player_12</x:v>
      </x:c>
      <x:c r="B34" s="16" t="str">
        <x:f>'Static Raw'!C7</x:f>
        <x:v>Player_03</x:v>
      </x:c>
      <x:c r="C34" s="16" t="str">
        <x:f>'Static Raw'!C16</x:f>
        <x:v>Player_12</x:v>
      </x:c>
      <x:c r="D34" s="16" t="str">
        <x:f>'Static Raw'!E7</x:f>
        <x:v>Holy</x:v>
      </x:c>
      <x:c r="E34" s="16" t="str">
        <x:f>'Static Raw'!E16</x:f>
        <x:v>Neutral</x:v>
      </x:c>
      <x:c r="F34" s="19" t="n">
        <x:f>IF('Static Raw'!N7='Static Raw'!N16,1,0)</x:f>
        <x:v>0</x:v>
      </x:c>
      <x:c r="G34" s="19" t="n">
        <x:f>IF('Static Raw'!P7='Static Raw'!P16,1,0)</x:f>
        <x:v>0</x:v>
      </x:c>
      <x:c r="H34" s="19" t="n">
        <x:f>IF('Static Raw'!R7='Static Raw'!R16,1,0)</x:f>
        <x:v>0</x:v>
      </x:c>
      <x:c r="I34" s="19" t="n">
        <x:f>1-(F34+G34+H34)/3</x:f>
        <x:v>1</x:v>
      </x:c>
      <x:c r="J34" s="19" t="n">
        <x:f>SUMPRODUCT('Static Raw'!I7:M7,'Static Raw'!I16:M16)/(SQRT(SUMSQ('Static Raw'!I7:M7))*SQRT(SUMSQ('Static Raw'!I16:M16)))</x:f>
        <x:v>0.11265041121986612</x:v>
      </x:c>
      <x:c r="K34" s="19" t="n">
        <x:f>1-J34</x:f>
        <x:v>0.8873495887801339</x:v>
      </x:c>
    </x:row>
    <x:row r="35">
      <x:c r="A35" s="16" t="str">
        <x:v>Player_04 vs Player_05</x:v>
      </x:c>
      <x:c r="B35" s="16" t="str">
        <x:f>'Static Raw'!C8</x:f>
        <x:v>Player_04</x:v>
      </x:c>
      <x:c r="C35" s="16" t="str">
        <x:f>'Static Raw'!C9</x:f>
        <x:v>Player_05</x:v>
      </x:c>
      <x:c r="D35" s="16" t="str">
        <x:f>'Static Raw'!E8</x:f>
        <x:v>Neutral</x:v>
      </x:c>
      <x:c r="E35" s="16" t="str">
        <x:f>'Static Raw'!E9</x:f>
        <x:v>Neutral</x:v>
      </x:c>
      <x:c r="F35" s="19" t="n">
        <x:f>IF('Static Raw'!N8='Static Raw'!N9,1,0)</x:f>
        <x:v>0</x:v>
      </x:c>
      <x:c r="G35" s="19" t="n">
        <x:f>IF('Static Raw'!P8='Static Raw'!P9,1,0)</x:f>
        <x:v>0</x:v>
      </x:c>
      <x:c r="H35" s="19" t="n">
        <x:f>IF('Static Raw'!R8='Static Raw'!R9,1,0)</x:f>
        <x:v>0</x:v>
      </x:c>
      <x:c r="I35" s="19" t="n">
        <x:f>1-(F35+G35+H35)/3</x:f>
        <x:v>1</x:v>
      </x:c>
      <x:c r="J35" s="19" t="n">
        <x:f>SUMPRODUCT('Static Raw'!I8:M8,'Static Raw'!I9:M9)/(SQRT(SUMSQ('Static Raw'!I8:M8))*SQRT(SUMSQ('Static Raw'!I9:M9)))</x:f>
        <x:v>0.6557749675409065</x:v>
      </x:c>
      <x:c r="K35" s="19" t="n">
        <x:f>1-J35</x:f>
        <x:v>0.3442250324590935</x:v>
      </x:c>
    </x:row>
    <x:row r="36">
      <x:c r="A36" s="16" t="str">
        <x:v>Player_04 vs Player_06</x:v>
      </x:c>
      <x:c r="B36" s="16" t="str">
        <x:f>'Static Raw'!C8</x:f>
        <x:v>Player_04</x:v>
      </x:c>
      <x:c r="C36" s="16" t="str">
        <x:f>'Static Raw'!C10</x:f>
        <x:v>Player_06</x:v>
      </x:c>
      <x:c r="D36" s="16" t="str">
        <x:f>'Static Raw'!E8</x:f>
        <x:v>Neutral</x:v>
      </x:c>
      <x:c r="E36" s="16" t="str">
        <x:f>'Static Raw'!E10</x:f>
        <x:v>Ocean</x:v>
      </x:c>
      <x:c r="F36" s="19" t="n">
        <x:f>IF('Static Raw'!N8='Static Raw'!N10,1,0)</x:f>
        <x:v>0</x:v>
      </x:c>
      <x:c r="G36" s="19" t="n">
        <x:f>IF('Static Raw'!P8='Static Raw'!P10,1,0)</x:f>
        <x:v>0</x:v>
      </x:c>
      <x:c r="H36" s="19" t="n">
        <x:f>IF('Static Raw'!R8='Static Raw'!R10,1,0)</x:f>
        <x:v>0</x:v>
      </x:c>
      <x:c r="I36" s="19" t="n">
        <x:f>1-(F36+G36+H36)/3</x:f>
        <x:v>1</x:v>
      </x:c>
      <x:c r="J36" s="19" t="n">
        <x:f>SUMPRODUCT('Static Raw'!I8:M8,'Static Raw'!I10:M10)/(SQRT(SUMSQ('Static Raw'!I8:M8))*SQRT(SUMSQ('Static Raw'!I10:M10)))</x:f>
        <x:v>0.34095648708754966</x:v>
      </x:c>
      <x:c r="K36" s="19" t="n">
        <x:f>1-J36</x:f>
        <x:v>0.6590435129124503</x:v>
      </x:c>
    </x:row>
    <x:row r="37">
      <x:c r="A37" s="16" t="str">
        <x:v>Player_04 vs Player_07</x:v>
      </x:c>
      <x:c r="B37" s="16" t="str">
        <x:f>'Static Raw'!C8</x:f>
        <x:v>Player_04</x:v>
      </x:c>
      <x:c r="C37" s="16" t="str">
        <x:f>'Static Raw'!C11</x:f>
        <x:v>Player_07</x:v>
      </x:c>
      <x:c r="D37" s="16" t="str">
        <x:f>'Static Raw'!E8</x:f>
        <x:v>Neutral</x:v>
      </x:c>
      <x:c r="E37" s="16" t="str">
        <x:f>'Static Raw'!E11</x:f>
        <x:v>Galaxy</x:v>
      </x:c>
      <x:c r="F37" s="19" t="n">
        <x:f>IF('Static Raw'!N8='Static Raw'!N11,1,0)</x:f>
        <x:v>0</x:v>
      </x:c>
      <x:c r="G37" s="19" t="n">
        <x:f>IF('Static Raw'!P8='Static Raw'!P11,1,0)</x:f>
        <x:v>0</x:v>
      </x:c>
      <x:c r="H37" s="19" t="n">
        <x:f>IF('Static Raw'!R8='Static Raw'!R11,1,0)</x:f>
        <x:v>0</x:v>
      </x:c>
      <x:c r="I37" s="19" t="n">
        <x:f>1-(F37+G37+H37)/3</x:f>
        <x:v>1</x:v>
      </x:c>
      <x:c r="J37" s="19" t="n">
        <x:f>SUMPRODUCT('Static Raw'!I8:M8,'Static Raw'!I11:M11)/(SQRT(SUMSQ('Static Raw'!I8:M8))*SQRT(SUMSQ('Static Raw'!I11:M11)))</x:f>
        <x:v>0.6148617623699523</x:v>
      </x:c>
      <x:c r="K37" s="19" t="n">
        <x:f>1-J37</x:f>
        <x:v>0.38513823763004773</x:v>
      </x:c>
    </x:row>
    <x:row r="38">
      <x:c r="A38" s="16" t="str">
        <x:v>Player_04 vs Player_08</x:v>
      </x:c>
      <x:c r="B38" s="16" t="str">
        <x:f>'Static Raw'!C8</x:f>
        <x:v>Player_04</x:v>
      </x:c>
      <x:c r="C38" s="16" t="str">
        <x:f>'Static Raw'!C12</x:f>
        <x:v>Player_08</x:v>
      </x:c>
      <x:c r="D38" s="16" t="str">
        <x:f>'Static Raw'!E8</x:f>
        <x:v>Neutral</x:v>
      </x:c>
      <x:c r="E38" s="16" t="str">
        <x:f>'Static Raw'!E12</x:f>
        <x:v>Forest</x:v>
      </x:c>
      <x:c r="F38" s="19" t="n">
        <x:f>IF('Static Raw'!N8='Static Raw'!N12,1,0)</x:f>
        <x:v>1</x:v>
      </x:c>
      <x:c r="G38" s="19" t="n">
        <x:f>IF('Static Raw'!P8='Static Raw'!P12,1,0)</x:f>
        <x:v>0</x:v>
      </x:c>
      <x:c r="H38" s="19" t="n">
        <x:f>IF('Static Raw'!R8='Static Raw'!R12,1,0)</x:f>
        <x:v>1</x:v>
      </x:c>
      <x:c r="I38" s="19" t="n">
        <x:f>1-(F38+G38+H38)/3</x:f>
        <x:v>0.33333333333333337</x:v>
      </x:c>
      <x:c r="J38" s="19" t="n">
        <x:f>SUMPRODUCT('Static Raw'!I8:M8,'Static Raw'!I12:M12)/(SQRT(SUMSQ('Static Raw'!I8:M8))*SQRT(SUMSQ('Static Raw'!I12:M12)))</x:f>
        <x:v>0.8389362670180575</x:v>
      </x:c>
      <x:c r="K38" s="19" t="n">
        <x:f>1-J38</x:f>
        <x:v>0.16106373298194254</x:v>
      </x:c>
    </x:row>
    <x:row r="39">
      <x:c r="A39" s="16" t="str">
        <x:v>Player_04 vs Player_09</x:v>
      </x:c>
      <x:c r="B39" s="16" t="str">
        <x:f>'Static Raw'!C8</x:f>
        <x:v>Player_04</x:v>
      </x:c>
      <x:c r="C39" s="16" t="str">
        <x:f>'Static Raw'!C13</x:f>
        <x:v>Player_09</x:v>
      </x:c>
      <x:c r="D39" s="16" t="str">
        <x:f>'Static Raw'!E8</x:f>
        <x:v>Neutral</x:v>
      </x:c>
      <x:c r="E39" s="16" t="str">
        <x:f>'Static Raw'!E13</x:f>
        <x:v>Neutral</x:v>
      </x:c>
      <x:c r="F39" s="19" t="n">
        <x:f>IF('Static Raw'!N8='Static Raw'!N13,1,0)</x:f>
        <x:v>0</x:v>
      </x:c>
      <x:c r="G39" s="19" t="n">
        <x:f>IF('Static Raw'!P8='Static Raw'!P13,1,0)</x:f>
        <x:v>1</x:v>
      </x:c>
      <x:c r="H39" s="19" t="n">
        <x:f>IF('Static Raw'!R8='Static Raw'!R13,1,0)</x:f>
        <x:v>0</x:v>
      </x:c>
      <x:c r="I39" s="19" t="n">
        <x:f>1-(F39+G39+H39)/3</x:f>
        <x:v>0.6666666666666667</x:v>
      </x:c>
      <x:c r="J39" s="19" t="n">
        <x:f>SUMPRODUCT('Static Raw'!I8:M8,'Static Raw'!I13:M13)/(SQRT(SUMSQ('Static Raw'!I8:M8))*SQRT(SUMSQ('Static Raw'!I13:M13)))</x:f>
        <x:v>0.7721490110331445</x:v>
      </x:c>
      <x:c r="K39" s="19" t="n">
        <x:f>1-J39</x:f>
        <x:v>0.22785098896685552</x:v>
      </x:c>
    </x:row>
    <x:row r="40">
      <x:c r="A40" s="16" t="str">
        <x:v>Player_04 vs Player_10</x:v>
      </x:c>
      <x:c r="B40" s="16" t="str">
        <x:f>'Static Raw'!C8</x:f>
        <x:v>Player_04</x:v>
      </x:c>
      <x:c r="C40" s="16" t="str">
        <x:f>'Static Raw'!C14</x:f>
        <x:v>Player_10</x:v>
      </x:c>
      <x:c r="D40" s="16" t="str">
        <x:f>'Static Raw'!E8</x:f>
        <x:v>Neutral</x:v>
      </x:c>
      <x:c r="E40" s="16" t="str">
        <x:f>'Static Raw'!E14</x:f>
        <x:v>Neutral</x:v>
      </x:c>
      <x:c r="F40" s="19" t="n">
        <x:f>IF('Static Raw'!N8='Static Raw'!N14,1,0)</x:f>
        <x:v>1</x:v>
      </x:c>
      <x:c r="G40" s="19" t="n">
        <x:f>IF('Static Raw'!P8='Static Raw'!P14,1,0)</x:f>
        <x:v>0</x:v>
      </x:c>
      <x:c r="H40" s="19" t="n">
        <x:f>IF('Static Raw'!R8='Static Raw'!R14,1,0)</x:f>
        <x:v>0</x:v>
      </x:c>
      <x:c r="I40" s="19" t="n">
        <x:f>1-(F40+G40+H40)/3</x:f>
        <x:v>0.6666666666666667</x:v>
      </x:c>
      <x:c r="J40" s="19" t="n">
        <x:f>SUMPRODUCT('Static Raw'!I8:M8,'Static Raw'!I14:M14)/(SQRT(SUMSQ('Static Raw'!I8:M8))*SQRT(SUMSQ('Static Raw'!I14:M14)))</x:f>
        <x:v>0.7829626109502615</x:v>
      </x:c>
      <x:c r="K40" s="19" t="n">
        <x:f>1-J40</x:f>
        <x:v>0.21703738904973846</x:v>
      </x:c>
    </x:row>
    <x:row r="41">
      <x:c r="A41" s="16" t="str">
        <x:v>Player_04 vs Player_11</x:v>
      </x:c>
      <x:c r="B41" s="16" t="str">
        <x:f>'Static Raw'!C8</x:f>
        <x:v>Player_04</x:v>
      </x:c>
      <x:c r="C41" s="16" t="str">
        <x:f>'Static Raw'!C15</x:f>
        <x:v>Player_11</x:v>
      </x:c>
      <x:c r="D41" s="16" t="str">
        <x:f>'Static Raw'!E8</x:f>
        <x:v>Neutral</x:v>
      </x:c>
      <x:c r="E41" s="16" t="str">
        <x:f>'Static Raw'!E15</x:f>
        <x:v>Forest</x:v>
      </x:c>
      <x:c r="F41" s="19" t="n">
        <x:f>IF('Static Raw'!N8='Static Raw'!N15,1,0)</x:f>
        <x:v>0</x:v>
      </x:c>
      <x:c r="G41" s="19" t="n">
        <x:f>IF('Static Raw'!P8='Static Raw'!P15,1,0)</x:f>
        <x:v>0</x:v>
      </x:c>
      <x:c r="H41" s="19" t="n">
        <x:f>IF('Static Raw'!R8='Static Raw'!R15,1,0)</x:f>
        <x:v>1</x:v>
      </x:c>
      <x:c r="I41" s="19" t="n">
        <x:f>1-(F41+G41+H41)/3</x:f>
        <x:v>0.6666666666666667</x:v>
      </x:c>
      <x:c r="J41" s="19" t="n">
        <x:f>SUMPRODUCT('Static Raw'!I8:M8,'Static Raw'!I15:M15)/(SQRT(SUMSQ('Static Raw'!I8:M8))*SQRT(SUMSQ('Static Raw'!I15:M15)))</x:f>
        <x:v>0.6623383635718328</x:v>
      </x:c>
      <x:c r="K41" s="19" t="n">
        <x:f>1-J41</x:f>
        <x:v>0.33766163642816716</x:v>
      </x:c>
    </x:row>
    <x:row r="42">
      <x:c r="A42" s="16" t="str">
        <x:v>Player_04 vs Player_12</x:v>
      </x:c>
      <x:c r="B42" s="16" t="str">
        <x:f>'Static Raw'!C8</x:f>
        <x:v>Player_04</x:v>
      </x:c>
      <x:c r="C42" s="16" t="str">
        <x:f>'Static Raw'!C16</x:f>
        <x:v>Player_12</x:v>
      </x:c>
      <x:c r="D42" s="16" t="str">
        <x:f>'Static Raw'!E8</x:f>
        <x:v>Neutral</x:v>
      </x:c>
      <x:c r="E42" s="16" t="str">
        <x:f>'Static Raw'!E16</x:f>
        <x:v>Neutral</x:v>
      </x:c>
      <x:c r="F42" s="19" t="n">
        <x:f>IF('Static Raw'!N8='Static Raw'!N16,1,0)</x:f>
        <x:v>1</x:v>
      </x:c>
      <x:c r="G42" s="19" t="n">
        <x:f>IF('Static Raw'!P8='Static Raw'!P16,1,0)</x:f>
        <x:v>0</x:v>
      </x:c>
      <x:c r="H42" s="19" t="n">
        <x:f>IF('Static Raw'!R8='Static Raw'!R16,1,0)</x:f>
        <x:v>0</x:v>
      </x:c>
      <x:c r="I42" s="19" t="n">
        <x:f>1-(F42+G42+H42)/3</x:f>
        <x:v>0.6666666666666667</x:v>
      </x:c>
      <x:c r="J42" s="19" t="n">
        <x:f>SUMPRODUCT('Static Raw'!I8:M8,'Static Raw'!I16:M16)/(SQRT(SUMSQ('Static Raw'!I8:M8))*SQRT(SUMSQ('Static Raw'!I16:M16)))</x:f>
        <x:v>0.64986660763529</x:v>
      </x:c>
      <x:c r="K42" s="19" t="n">
        <x:f>1-J42</x:f>
        <x:v>0.35013339236470997</x:v>
      </x:c>
    </x:row>
    <x:row r="43">
      <x:c r="A43" s="16" t="str">
        <x:v>Player_05 vs Player_06</x:v>
      </x:c>
      <x:c r="B43" s="16" t="str">
        <x:f>'Static Raw'!C9</x:f>
        <x:v>Player_05</x:v>
      </x:c>
      <x:c r="C43" s="16" t="str">
        <x:f>'Static Raw'!C10</x:f>
        <x:v>Player_06</x:v>
      </x:c>
      <x:c r="D43" s="16" t="str">
        <x:f>'Static Raw'!E9</x:f>
        <x:v>Neutral</x:v>
      </x:c>
      <x:c r="E43" s="16" t="str">
        <x:f>'Static Raw'!E10</x:f>
        <x:v>Ocean</x:v>
      </x:c>
      <x:c r="F43" s="19" t="n">
        <x:f>IF('Static Raw'!N9='Static Raw'!N10,1,0)</x:f>
        <x:v>0</x:v>
      </x:c>
      <x:c r="G43" s="19" t="n">
        <x:f>IF('Static Raw'!P9='Static Raw'!P10,1,0)</x:f>
        <x:v>0</x:v>
      </x:c>
      <x:c r="H43" s="19" t="n">
        <x:f>IF('Static Raw'!R9='Static Raw'!R10,1,0)</x:f>
        <x:v>0</x:v>
      </x:c>
      <x:c r="I43" s="19" t="n">
        <x:f>1-(F43+G43+H43)/3</x:f>
        <x:v>1</x:v>
      </x:c>
      <x:c r="J43" s="19" t="n">
        <x:f>SUMPRODUCT('Static Raw'!I9:M9,'Static Raw'!I10:M10)/(SQRT(SUMSQ('Static Raw'!I9:M9))*SQRT(SUMSQ('Static Raw'!I10:M10)))</x:f>
        <x:v>0.30370042489085347</x:v>
      </x:c>
      <x:c r="K43" s="19" t="n">
        <x:f>1-J43</x:f>
        <x:v>0.6962995751091465</x:v>
      </x:c>
    </x:row>
    <x:row r="44">
      <x:c r="A44" s="16" t="str">
        <x:v>Player_05 vs Player_07</x:v>
      </x:c>
      <x:c r="B44" s="16" t="str">
        <x:f>'Static Raw'!C9</x:f>
        <x:v>Player_05</x:v>
      </x:c>
      <x:c r="C44" s="16" t="str">
        <x:f>'Static Raw'!C11</x:f>
        <x:v>Player_07</x:v>
      </x:c>
      <x:c r="D44" s="16" t="str">
        <x:f>'Static Raw'!E9</x:f>
        <x:v>Neutral</x:v>
      </x:c>
      <x:c r="E44" s="16" t="str">
        <x:f>'Static Raw'!E11</x:f>
        <x:v>Galaxy</x:v>
      </x:c>
      <x:c r="F44" s="19" t="n">
        <x:f>IF('Static Raw'!N9='Static Raw'!N11,1,0)</x:f>
        <x:v>0</x:v>
      </x:c>
      <x:c r="G44" s="19" t="n">
        <x:f>IF('Static Raw'!P9='Static Raw'!P11,1,0)</x:f>
        <x:v>0</x:v>
      </x:c>
      <x:c r="H44" s="19" t="n">
        <x:f>IF('Static Raw'!R9='Static Raw'!R11,1,0)</x:f>
        <x:v>0</x:v>
      </x:c>
      <x:c r="I44" s="19" t="n">
        <x:f>1-(F44+G44+H44)/3</x:f>
        <x:v>1</x:v>
      </x:c>
      <x:c r="J44" s="19" t="n">
        <x:f>SUMPRODUCT('Static Raw'!I9:M9,'Static Raw'!I11:M11)/(SQRT(SUMSQ('Static Raw'!I9:M9))*SQRT(SUMSQ('Static Raw'!I11:M11)))</x:f>
        <x:v>0.06094007144010042</x:v>
      </x:c>
      <x:c r="K44" s="19" t="n">
        <x:f>1-J44</x:f>
        <x:v>0.9390599285598996</x:v>
      </x:c>
    </x:row>
    <x:row r="45">
      <x:c r="A45" s="16" t="str">
        <x:v>Player_05 vs Player_08</x:v>
      </x:c>
      <x:c r="B45" s="16" t="str">
        <x:f>'Static Raw'!C9</x:f>
        <x:v>Player_05</x:v>
      </x:c>
      <x:c r="C45" s="16" t="str">
        <x:f>'Static Raw'!C12</x:f>
        <x:v>Player_08</x:v>
      </x:c>
      <x:c r="D45" s="16" t="str">
        <x:f>'Static Raw'!E9</x:f>
        <x:v>Neutral</x:v>
      </x:c>
      <x:c r="E45" s="16" t="str">
        <x:f>'Static Raw'!E12</x:f>
        <x:v>Forest</x:v>
      </x:c>
      <x:c r="F45" s="19" t="n">
        <x:f>IF('Static Raw'!N9='Static Raw'!N12,1,0)</x:f>
        <x:v>0</x:v>
      </x:c>
      <x:c r="G45" s="19" t="n">
        <x:f>IF('Static Raw'!P9='Static Raw'!P12,1,0)</x:f>
        <x:v>1</x:v>
      </x:c>
      <x:c r="H45" s="19" t="n">
        <x:f>IF('Static Raw'!R9='Static Raw'!R12,1,0)</x:f>
        <x:v>0</x:v>
      </x:c>
      <x:c r="I45" s="19" t="n">
        <x:f>1-(F45+G45+H45)/3</x:f>
        <x:v>0.6666666666666667</x:v>
      </x:c>
      <x:c r="J45" s="19" t="n">
        <x:f>SUMPRODUCT('Static Raw'!I9:M9,'Static Raw'!I12:M12)/(SQRT(SUMSQ('Static Raw'!I9:M9))*SQRT(SUMSQ('Static Raw'!I12:M12)))</x:f>
        <x:v>0.9442812019587427</x:v>
      </x:c>
      <x:c r="K45" s="19" t="n">
        <x:f>1-J45</x:f>
        <x:v>0.055718798041257345</x:v>
      </x:c>
    </x:row>
    <x:row r="46">
      <x:c r="A46" s="16" t="str">
        <x:v>Player_05 vs Player_09</x:v>
      </x:c>
      <x:c r="B46" s="16" t="str">
        <x:f>'Static Raw'!C9</x:f>
        <x:v>Player_05</x:v>
      </x:c>
      <x:c r="C46" s="16" t="str">
        <x:f>'Static Raw'!C13</x:f>
        <x:v>Player_09</x:v>
      </x:c>
      <x:c r="D46" s="16" t="str">
        <x:f>'Static Raw'!E9</x:f>
        <x:v>Neutral</x:v>
      </x:c>
      <x:c r="E46" s="16" t="str">
        <x:f>'Static Raw'!E13</x:f>
        <x:v>Neutral</x:v>
      </x:c>
      <x:c r="F46" s="19" t="n">
        <x:f>IF('Static Raw'!N9='Static Raw'!N13,1,0)</x:f>
        <x:v>0</x:v>
      </x:c>
      <x:c r="G46" s="19" t="n">
        <x:f>IF('Static Raw'!P9='Static Raw'!P13,1,0)</x:f>
        <x:v>0</x:v>
      </x:c>
      <x:c r="H46" s="19" t="n">
        <x:f>IF('Static Raw'!R9='Static Raw'!R13,1,0)</x:f>
        <x:v>1</x:v>
      </x:c>
      <x:c r="I46" s="19" t="n">
        <x:f>1-(F46+G46+H46)/3</x:f>
        <x:v>0.6666666666666667</x:v>
      </x:c>
      <x:c r="J46" s="19" t="n">
        <x:f>SUMPRODUCT('Static Raw'!I9:M9,'Static Raw'!I13:M13)/(SQRT(SUMSQ('Static Raw'!I9:M9))*SQRT(SUMSQ('Static Raw'!I13:M13)))</x:f>
        <x:v>0.12517645041651781</x:v>
      </x:c>
      <x:c r="K46" s="19" t="n">
        <x:f>1-J46</x:f>
        <x:v>0.8748235495834822</x:v>
      </x:c>
    </x:row>
    <x:row r="47">
      <x:c r="A47" s="16" t="str">
        <x:v>Player_05 vs Player_10</x:v>
      </x:c>
      <x:c r="B47" s="16" t="str">
        <x:f>'Static Raw'!C9</x:f>
        <x:v>Player_05</x:v>
      </x:c>
      <x:c r="C47" s="16" t="str">
        <x:f>'Static Raw'!C14</x:f>
        <x:v>Player_10</x:v>
      </x:c>
      <x:c r="D47" s="16" t="str">
        <x:f>'Static Raw'!E9</x:f>
        <x:v>Neutral</x:v>
      </x:c>
      <x:c r="E47" s="16" t="str">
        <x:f>'Static Raw'!E14</x:f>
        <x:v>Neutral</x:v>
      </x:c>
      <x:c r="F47" s="19" t="n">
        <x:f>IF('Static Raw'!N9='Static Raw'!N14,1,0)</x:f>
        <x:v>0</x:v>
      </x:c>
      <x:c r="G47" s="19" t="n">
        <x:f>IF('Static Raw'!P9='Static Raw'!P14,1,0)</x:f>
        <x:v>0</x:v>
      </x:c>
      <x:c r="H47" s="19" t="n">
        <x:f>IF('Static Raw'!R9='Static Raw'!R14,1,0)</x:f>
        <x:v>0</x:v>
      </x:c>
      <x:c r="I47" s="19" t="n">
        <x:f>1-(F47+G47+H47)/3</x:f>
        <x:v>1</x:v>
      </x:c>
      <x:c r="J47" s="19" t="n">
        <x:f>SUMPRODUCT('Static Raw'!I9:M9,'Static Raw'!I14:M14)/(SQRT(SUMSQ('Static Raw'!I9:M9))*SQRT(SUMSQ('Static Raw'!I14:M14)))</x:f>
        <x:v>0.2657807684644705</x:v>
      </x:c>
      <x:c r="K47" s="19" t="n">
        <x:f>1-J47</x:f>
        <x:v>0.7342192315355295</x:v>
      </x:c>
    </x:row>
    <x:row r="48">
      <x:c r="A48" s="16" t="str">
        <x:v>Player_05 vs Player_11</x:v>
      </x:c>
      <x:c r="B48" s="16" t="str">
        <x:f>'Static Raw'!C9</x:f>
        <x:v>Player_05</x:v>
      </x:c>
      <x:c r="C48" s="16" t="str">
        <x:f>'Static Raw'!C15</x:f>
        <x:v>Player_11</x:v>
      </x:c>
      <x:c r="D48" s="16" t="str">
        <x:f>'Static Raw'!E9</x:f>
        <x:v>Neutral</x:v>
      </x:c>
      <x:c r="E48" s="16" t="str">
        <x:f>'Static Raw'!E15</x:f>
        <x:v>Forest</x:v>
      </x:c>
      <x:c r="F48" s="19" t="n">
        <x:f>IF('Static Raw'!N9='Static Raw'!N15,1,0)</x:f>
        <x:v>1</x:v>
      </x:c>
      <x:c r="G48" s="19" t="n">
        <x:f>IF('Static Raw'!P9='Static Raw'!P15,1,0)</x:f>
        <x:v>0</x:v>
      </x:c>
      <x:c r="H48" s="19" t="n">
        <x:f>IF('Static Raw'!R9='Static Raw'!R15,1,0)</x:f>
        <x:v>0</x:v>
      </x:c>
      <x:c r="I48" s="19" t="n">
        <x:f>1-(F48+G48+H48)/3</x:f>
        <x:v>0.6666666666666667</x:v>
      </x:c>
      <x:c r="J48" s="19" t="n">
        <x:f>SUMPRODUCT('Static Raw'!I9:M9,'Static Raw'!I15:M15)/(SQRT(SUMSQ('Static Raw'!I9:M9))*SQRT(SUMSQ('Static Raw'!I15:M15)))</x:f>
        <x:v>0.922542412537793</x:v>
      </x:c>
      <x:c r="K48" s="19" t="n">
        <x:f>1-J48</x:f>
        <x:v>0.07745758746220699</x:v>
      </x:c>
    </x:row>
    <x:row r="49">
      <x:c r="A49" s="16" t="str">
        <x:v>Player_05 vs Player_12</x:v>
      </x:c>
      <x:c r="B49" s="16" t="str">
        <x:f>'Static Raw'!C9</x:f>
        <x:v>Player_05</x:v>
      </x:c>
      <x:c r="C49" s="16" t="str">
        <x:f>'Static Raw'!C16</x:f>
        <x:v>Player_12</x:v>
      </x:c>
      <x:c r="D49" s="16" t="str">
        <x:f>'Static Raw'!E9</x:f>
        <x:v>Neutral</x:v>
      </x:c>
      <x:c r="E49" s="16" t="str">
        <x:f>'Static Raw'!E16</x:f>
        <x:v>Neutral</x:v>
      </x:c>
      <x:c r="F49" s="19" t="n">
        <x:f>IF('Static Raw'!N9='Static Raw'!N16,1,0)</x:f>
        <x:v>0</x:v>
      </x:c>
      <x:c r="G49" s="19" t="n">
        <x:f>IF('Static Raw'!P9='Static Raw'!P16,1,0)</x:f>
        <x:v>1</x:v>
      </x:c>
      <x:c r="H49" s="19" t="n">
        <x:f>IF('Static Raw'!R9='Static Raw'!R16,1,0)</x:f>
        <x:v>1</x:v>
      </x:c>
      <x:c r="I49" s="19" t="n">
        <x:f>1-(F49+G49+H49)/3</x:f>
        <x:v>0.33333333333333337</x:v>
      </x:c>
      <x:c r="J49" s="19" t="n">
        <x:f>SUMPRODUCT('Static Raw'!I9:M9,'Static Raw'!I16:M16)/(SQRT(SUMSQ('Static Raw'!I9:M9))*SQRT(SUMSQ('Static Raw'!I16:M16)))</x:f>
        <x:v>0.999824774851551</x:v>
      </x:c>
      <x:c r="K49" s="19" t="n">
        <x:f>1-J49</x:f>
        <x:v>0.00017522514844903192</x:v>
      </x:c>
    </x:row>
    <x:row r="50">
      <x:c r="A50" s="16" t="str">
        <x:v>Player_06 vs Player_07</x:v>
      </x:c>
      <x:c r="B50" s="16" t="str">
        <x:f>'Static Raw'!C10</x:f>
        <x:v>Player_06</x:v>
      </x:c>
      <x:c r="C50" s="16" t="str">
        <x:f>'Static Raw'!C11</x:f>
        <x:v>Player_07</x:v>
      </x:c>
      <x:c r="D50" s="16" t="str">
        <x:f>'Static Raw'!E10</x:f>
        <x:v>Ocean</x:v>
      </x:c>
      <x:c r="E50" s="16" t="str">
        <x:f>'Static Raw'!E11</x:f>
        <x:v>Galaxy</x:v>
      </x:c>
      <x:c r="F50" s="19" t="n">
        <x:f>IF('Static Raw'!N10='Static Raw'!N11,1,0)</x:f>
        <x:v>0</x:v>
      </x:c>
      <x:c r="G50" s="19" t="n">
        <x:f>IF('Static Raw'!P10='Static Raw'!P11,1,0)</x:f>
        <x:v>0</x:v>
      </x:c>
      <x:c r="H50" s="19" t="n">
        <x:f>IF('Static Raw'!R10='Static Raw'!R11,1,0)</x:f>
        <x:v>0</x:v>
      </x:c>
      <x:c r="I50" s="19" t="n">
        <x:f>1-(F50+G50+H50)/3</x:f>
        <x:v>1</x:v>
      </x:c>
      <x:c r="J50" s="19" t="n">
        <x:f>SUMPRODUCT('Static Raw'!I10:M10,'Static Raw'!I11:M11)/(SQRT(SUMSQ('Static Raw'!I10:M10))*SQRT(SUMSQ('Static Raw'!I11:M11)))</x:f>
        <x:v>0.1536379119475288</x:v>
      </x:c>
      <x:c r="K50" s="19" t="n">
        <x:f>1-J50</x:f>
        <x:v>0.8463620880524712</x:v>
      </x:c>
    </x:row>
    <x:row r="51">
      <x:c r="A51" s="16" t="str">
        <x:v>Player_06 vs Player_08</x:v>
      </x:c>
      <x:c r="B51" s="16" t="str">
        <x:f>'Static Raw'!C10</x:f>
        <x:v>Player_06</x:v>
      </x:c>
      <x:c r="C51" s="16" t="str">
        <x:f>'Static Raw'!C12</x:f>
        <x:v>Player_08</x:v>
      </x:c>
      <x:c r="D51" s="16" t="str">
        <x:f>'Static Raw'!E10</x:f>
        <x:v>Ocean</x:v>
      </x:c>
      <x:c r="E51" s="16" t="str">
        <x:f>'Static Raw'!E12</x:f>
        <x:v>Forest</x:v>
      </x:c>
      <x:c r="F51" s="19" t="n">
        <x:f>IF('Static Raw'!N10='Static Raw'!N12,1,0)</x:f>
        <x:v>0</x:v>
      </x:c>
      <x:c r="G51" s="19" t="n">
        <x:f>IF('Static Raw'!P10='Static Raw'!P12,1,0)</x:f>
        <x:v>0</x:v>
      </x:c>
      <x:c r="H51" s="19" t="n">
        <x:f>IF('Static Raw'!R10='Static Raw'!R12,1,0)</x:f>
        <x:v>0</x:v>
      </x:c>
      <x:c r="I51" s="19" t="n">
        <x:f>1-(F51+G51+H51)/3</x:f>
        <x:v>1</x:v>
      </x:c>
      <x:c r="J51" s="19" t="n">
        <x:f>SUMPRODUCT('Static Raw'!I10:M10,'Static Raw'!I12:M12)/(SQRT(SUMSQ('Static Raw'!I10:M10))*SQRT(SUMSQ('Static Raw'!I12:M12)))</x:f>
        <x:v>0.35102893573981464</x:v>
      </x:c>
      <x:c r="K51" s="19" t="n">
        <x:f>1-J51</x:f>
        <x:v>0.6489710642601854</x:v>
      </x:c>
    </x:row>
    <x:row r="52">
      <x:c r="A52" s="16" t="str">
        <x:v>Player_06 vs Player_09</x:v>
      </x:c>
      <x:c r="B52" s="16" t="str">
        <x:f>'Static Raw'!C10</x:f>
        <x:v>Player_06</x:v>
      </x:c>
      <x:c r="C52" s="16" t="str">
        <x:f>'Static Raw'!C13</x:f>
        <x:v>Player_09</x:v>
      </x:c>
      <x:c r="D52" s="16" t="str">
        <x:f>'Static Raw'!E10</x:f>
        <x:v>Ocean</x:v>
      </x:c>
      <x:c r="E52" s="16" t="str">
        <x:f>'Static Raw'!E13</x:f>
        <x:v>Neutral</x:v>
      </x:c>
      <x:c r="F52" s="19" t="n">
        <x:f>IF('Static Raw'!N10='Static Raw'!N13,1,0)</x:f>
        <x:v>0</x:v>
      </x:c>
      <x:c r="G52" s="19" t="n">
        <x:f>IF('Static Raw'!P10='Static Raw'!P13,1,0)</x:f>
        <x:v>0</x:v>
      </x:c>
      <x:c r="H52" s="19" t="n">
        <x:f>IF('Static Raw'!R10='Static Raw'!R13,1,0)</x:f>
        <x:v>0</x:v>
      </x:c>
      <x:c r="I52" s="19" t="n">
        <x:f>1-(F52+G52+H52)/3</x:f>
        <x:v>1</x:v>
      </x:c>
      <x:c r="J52" s="19" t="n">
        <x:f>SUMPRODUCT('Static Raw'!I10:M10,'Static Raw'!I13:M13)/(SQRT(SUMSQ('Static Raw'!I10:M10))*SQRT(SUMSQ('Static Raw'!I13:M13)))</x:f>
        <x:v>0.18811924789435677</x:v>
      </x:c>
      <x:c r="K52" s="19" t="n">
        <x:f>1-J52</x:f>
        <x:v>0.8118807521056433</x:v>
      </x:c>
    </x:row>
    <x:row r="53">
      <x:c r="A53" s="16" t="str">
        <x:v>Player_06 vs Player_10</x:v>
      </x:c>
      <x:c r="B53" s="16" t="str">
        <x:f>'Static Raw'!C10</x:f>
        <x:v>Player_06</x:v>
      </x:c>
      <x:c r="C53" s="16" t="str">
        <x:f>'Static Raw'!C14</x:f>
        <x:v>Player_10</x:v>
      </x:c>
      <x:c r="D53" s="16" t="str">
        <x:f>'Static Raw'!E10</x:f>
        <x:v>Ocean</x:v>
      </x:c>
      <x:c r="E53" s="16" t="str">
        <x:f>'Static Raw'!E14</x:f>
        <x:v>Neutral</x:v>
      </x:c>
      <x:c r="F53" s="19" t="n">
        <x:f>IF('Static Raw'!N10='Static Raw'!N14,1,0)</x:f>
        <x:v>0</x:v>
      </x:c>
      <x:c r="G53" s="19" t="n">
        <x:f>IF('Static Raw'!P10='Static Raw'!P14,1,0)</x:f>
        <x:v>0</x:v>
      </x:c>
      <x:c r="H53" s="19" t="n">
        <x:f>IF('Static Raw'!R10='Static Raw'!R14,1,0)</x:f>
        <x:v>1</x:v>
      </x:c>
      <x:c r="I53" s="19" t="n">
        <x:f>1-(F53+G53+H53)/3</x:f>
        <x:v>0.6666666666666667</x:v>
      </x:c>
      <x:c r="J53" s="19" t="n">
        <x:f>SUMPRODUCT('Static Raw'!I10:M10,'Static Raw'!I14:M14)/(SQRT(SUMSQ('Static Raw'!I10:M10))*SQRT(SUMSQ('Static Raw'!I14:M14)))</x:f>
        <x:v>0.6983686693667875</x:v>
      </x:c>
      <x:c r="K53" s="19" t="n">
        <x:f>1-J53</x:f>
        <x:v>0.30163133063321246</x:v>
      </x:c>
    </x:row>
    <x:row r="54">
      <x:c r="A54" s="16" t="str">
        <x:v>Player_06 vs Player_11</x:v>
      </x:c>
      <x:c r="B54" s="16" t="str">
        <x:f>'Static Raw'!C10</x:f>
        <x:v>Player_06</x:v>
      </x:c>
      <x:c r="C54" s="16" t="str">
        <x:f>'Static Raw'!C15</x:f>
        <x:v>Player_11</x:v>
      </x:c>
      <x:c r="D54" s="16" t="str">
        <x:f>'Static Raw'!E10</x:f>
        <x:v>Ocean</x:v>
      </x:c>
      <x:c r="E54" s="16" t="str">
        <x:f>'Static Raw'!E15</x:f>
        <x:v>Forest</x:v>
      </x:c>
      <x:c r="F54" s="19" t="n">
        <x:f>IF('Static Raw'!N10='Static Raw'!N15,1,0)</x:f>
        <x:v>0</x:v>
      </x:c>
      <x:c r="G54" s="19" t="n">
        <x:f>IF('Static Raw'!P10='Static Raw'!P15,1,0)</x:f>
        <x:v>1</x:v>
      </x:c>
      <x:c r="H54" s="19" t="n">
        <x:f>IF('Static Raw'!R10='Static Raw'!R15,1,0)</x:f>
        <x:v>0</x:v>
      </x:c>
      <x:c r="I54" s="19" t="n">
        <x:f>1-(F54+G54+H54)/3</x:f>
        <x:v>0.6666666666666667</x:v>
      </x:c>
      <x:c r="J54" s="19" t="n">
        <x:f>SUMPRODUCT('Static Raw'!I10:M10,'Static Raw'!I15:M15)/(SQRT(SUMSQ('Static Raw'!I10:M10))*SQRT(SUMSQ('Static Raw'!I15:M15)))</x:f>
        <x:v>0.6468888160163889</x:v>
      </x:c>
      <x:c r="K54" s="19" t="n">
        <x:f>1-J54</x:f>
        <x:v>0.3531111839836111</x:v>
      </x:c>
    </x:row>
    <x:row r="55">
      <x:c r="A55" s="16" t="str">
        <x:v>Player_06 vs Player_12</x:v>
      </x:c>
      <x:c r="B55" s="16" t="str">
        <x:f>'Static Raw'!C10</x:f>
        <x:v>Player_06</x:v>
      </x:c>
      <x:c r="C55" s="16" t="str">
        <x:f>'Static Raw'!C16</x:f>
        <x:v>Player_12</x:v>
      </x:c>
      <x:c r="D55" s="16" t="str">
        <x:f>'Static Raw'!E10</x:f>
        <x:v>Ocean</x:v>
      </x:c>
      <x:c r="E55" s="16" t="str">
        <x:f>'Static Raw'!E16</x:f>
        <x:v>Neutral</x:v>
      </x:c>
      <x:c r="F55" s="19" t="n">
        <x:f>IF('Static Raw'!N10='Static Raw'!N16,1,0)</x:f>
        <x:v>0</x:v>
      </x:c>
      <x:c r="G55" s="19" t="n">
        <x:f>IF('Static Raw'!P10='Static Raw'!P16,1,0)</x:f>
        <x:v>0</x:v>
      </x:c>
      <x:c r="H55" s="19" t="n">
        <x:f>IF('Static Raw'!R10='Static Raw'!R16,1,0)</x:f>
        <x:v>0</x:v>
      </x:c>
      <x:c r="I55" s="19" t="n">
        <x:f>1-(F55+G55+H55)/3</x:f>
        <x:v>1</x:v>
      </x:c>
      <x:c r="J55" s="19" t="n">
        <x:f>SUMPRODUCT('Static Raw'!I10:M10,'Static Raw'!I16:M16)/(SQRT(SUMSQ('Static Raw'!I10:M10))*SQRT(SUMSQ('Static Raw'!I16:M16)))</x:f>
        <x:v>0.3021133649239641</x:v>
      </x:c>
      <x:c r="K55" s="19" t="n">
        <x:f>1-J55</x:f>
        <x:v>0.6978866350760359</x:v>
      </x:c>
    </x:row>
    <x:row r="56">
      <x:c r="A56" s="16" t="str">
        <x:v>Player_07 vs Player_08</x:v>
      </x:c>
      <x:c r="B56" s="16" t="str">
        <x:f>'Static Raw'!C11</x:f>
        <x:v>Player_07</x:v>
      </x:c>
      <x:c r="C56" s="16" t="str">
        <x:f>'Static Raw'!C12</x:f>
        <x:v>Player_08</x:v>
      </x:c>
      <x:c r="D56" s="16" t="str">
        <x:f>'Static Raw'!E11</x:f>
        <x:v>Galaxy</x:v>
      </x:c>
      <x:c r="E56" s="16" t="str">
        <x:f>'Static Raw'!E12</x:f>
        <x:v>Forest</x:v>
      </x:c>
      <x:c r="F56" s="19" t="n">
        <x:f>IF('Static Raw'!N11='Static Raw'!N12,1,0)</x:f>
        <x:v>0</x:v>
      </x:c>
      <x:c r="G56" s="19" t="n">
        <x:f>IF('Static Raw'!P11='Static Raw'!P12,1,0)</x:f>
        <x:v>0</x:v>
      </x:c>
      <x:c r="H56" s="19" t="n">
        <x:f>IF('Static Raw'!R11='Static Raw'!R12,1,0)</x:f>
        <x:v>0</x:v>
      </x:c>
      <x:c r="I56" s="19" t="n">
        <x:f>1-(F56+G56+H56)/3</x:f>
        <x:v>1</x:v>
      </x:c>
      <x:c r="J56" s="19" t="n">
        <x:f>SUMPRODUCT('Static Raw'!I11:M11,'Static Raw'!I12:M12)/(SQRT(SUMSQ('Static Raw'!I11:M11))*SQRT(SUMSQ('Static Raw'!I12:M12)))</x:f>
        <x:v>0.18016371528229158</x:v>
      </x:c>
      <x:c r="K56" s="19" t="n">
        <x:f>1-J56</x:f>
        <x:v>0.8198362847177084</x:v>
      </x:c>
    </x:row>
    <x:row r="57">
      <x:c r="A57" s="16" t="str">
        <x:v>Player_07 vs Player_09</x:v>
      </x:c>
      <x:c r="B57" s="16" t="str">
        <x:f>'Static Raw'!C11</x:f>
        <x:v>Player_07</x:v>
      </x:c>
      <x:c r="C57" s="16" t="str">
        <x:f>'Static Raw'!C13</x:f>
        <x:v>Player_09</x:v>
      </x:c>
      <x:c r="D57" s="16" t="str">
        <x:f>'Static Raw'!E11</x:f>
        <x:v>Galaxy</x:v>
      </x:c>
      <x:c r="E57" s="16" t="str">
        <x:f>'Static Raw'!E13</x:f>
        <x:v>Neutral</x:v>
      </x:c>
      <x:c r="F57" s="19" t="n">
        <x:f>IF('Static Raw'!N11='Static Raw'!N13,1,0)</x:f>
        <x:v>0</x:v>
      </x:c>
      <x:c r="G57" s="19" t="n">
        <x:f>IF('Static Raw'!P11='Static Raw'!P13,1,0)</x:f>
        <x:v>0</x:v>
      </x:c>
      <x:c r="H57" s="19" t="n">
        <x:f>IF('Static Raw'!R11='Static Raw'!R13,1,0)</x:f>
        <x:v>0</x:v>
      </x:c>
      <x:c r="I57" s="19" t="n">
        <x:f>1-(F57+G57+H57)/3</x:f>
        <x:v>1</x:v>
      </x:c>
      <x:c r="J57" s="19" t="n">
        <x:f>SUMPRODUCT('Static Raw'!I11:M11,'Static Raw'!I13:M13)/(SQRT(SUMSQ('Static Raw'!I11:M11))*SQRT(SUMSQ('Static Raw'!I13:M13)))</x:f>
        <x:v>0.9521977028568872</x:v>
      </x:c>
      <x:c r="K57" s="19" t="n">
        <x:f>1-J57</x:f>
        <x:v>0.04780229714311279</x:v>
      </x:c>
    </x:row>
    <x:row r="58">
      <x:c r="A58" s="16" t="str">
        <x:v>Player_07 vs Player_10</x:v>
      </x:c>
      <x:c r="B58" s="16" t="str">
        <x:f>'Static Raw'!C11</x:f>
        <x:v>Player_07</x:v>
      </x:c>
      <x:c r="C58" s="16" t="str">
        <x:f>'Static Raw'!C14</x:f>
        <x:v>Player_10</x:v>
      </x:c>
      <x:c r="D58" s="16" t="str">
        <x:f>'Static Raw'!E11</x:f>
        <x:v>Galaxy</x:v>
      </x:c>
      <x:c r="E58" s="16" t="str">
        <x:f>'Static Raw'!E14</x:f>
        <x:v>Neutral</x:v>
      </x:c>
      <x:c r="F58" s="19" t="n">
        <x:f>IF('Static Raw'!N11='Static Raw'!N14,1,0)</x:f>
        <x:v>0</x:v>
      </x:c>
      <x:c r="G58" s="19" t="n">
        <x:f>IF('Static Raw'!P11='Static Raw'!P14,1,0)</x:f>
        <x:v>1</x:v>
      </x:c>
      <x:c r="H58" s="19" t="n">
        <x:f>IF('Static Raw'!R11='Static Raw'!R14,1,0)</x:f>
        <x:v>0</x:v>
      </x:c>
      <x:c r="I58" s="19" t="n">
        <x:f>1-(F58+G58+H58)/3</x:f>
        <x:v>0.6666666666666667</x:v>
      </x:c>
      <x:c r="J58" s="19" t="n">
        <x:f>SUMPRODUCT('Static Raw'!I11:M11,'Static Raw'!I14:M14)/(SQRT(SUMSQ('Static Raw'!I11:M11))*SQRT(SUMSQ('Static Raw'!I14:M14)))</x:f>
        <x:v>0.5566371219818982</x:v>
      </x:c>
      <x:c r="K58" s="19" t="n">
        <x:f>1-J58</x:f>
        <x:v>0.4433628780181018</x:v>
      </x:c>
    </x:row>
    <x:row r="59">
      <x:c r="A59" s="16" t="str">
        <x:v>Player_07 vs Player_11</x:v>
      </x:c>
      <x:c r="B59" s="16" t="str">
        <x:f>'Static Raw'!C11</x:f>
        <x:v>Player_07</x:v>
      </x:c>
      <x:c r="C59" s="16" t="str">
        <x:f>'Static Raw'!C15</x:f>
        <x:v>Player_11</x:v>
      </x:c>
      <x:c r="D59" s="16" t="str">
        <x:f>'Static Raw'!E11</x:f>
        <x:v>Galaxy</x:v>
      </x:c>
      <x:c r="E59" s="16" t="str">
        <x:f>'Static Raw'!E15</x:f>
        <x:v>Forest</x:v>
      </x:c>
      <x:c r="F59" s="19" t="n">
        <x:f>IF('Static Raw'!N11='Static Raw'!N15,1,0)</x:f>
        <x:v>0</x:v>
      </x:c>
      <x:c r="G59" s="19" t="n">
        <x:f>IF('Static Raw'!P11='Static Raw'!P15,1,0)</x:f>
        <x:v>0</x:v>
      </x:c>
      <x:c r="H59" s="19" t="n">
        <x:f>IF('Static Raw'!R11='Static Raw'!R15,1,0)</x:f>
        <x:v>0</x:v>
      </x:c>
      <x:c r="I59" s="19" t="n">
        <x:f>1-(F59+G59+H59)/3</x:f>
        <x:v>1</x:v>
      </x:c>
      <x:c r="J59" s="19" t="n">
        <x:f>SUMPRODUCT('Static Raw'!I11:M11,'Static Raw'!I15:M15)/(SQRT(SUMSQ('Static Raw'!I11:M11))*SQRT(SUMSQ('Static Raw'!I15:M15)))</x:f>
        <x:v>0.11176435888359296</x:v>
      </x:c>
      <x:c r="K59" s="19" t="n">
        <x:f>1-J59</x:f>
        <x:v>0.8882356411164071</x:v>
      </x:c>
    </x:row>
    <x:row r="60">
      <x:c r="A60" s="16" t="str">
        <x:v>Player_07 vs Player_12</x:v>
      </x:c>
      <x:c r="B60" s="16" t="str">
        <x:f>'Static Raw'!C11</x:f>
        <x:v>Player_07</x:v>
      </x:c>
      <x:c r="C60" s="16" t="str">
        <x:f>'Static Raw'!C16</x:f>
        <x:v>Player_12</x:v>
      </x:c>
      <x:c r="D60" s="16" t="str">
        <x:f>'Static Raw'!E11</x:f>
        <x:v>Galaxy</x:v>
      </x:c>
      <x:c r="E60" s="16" t="str">
        <x:f>'Static Raw'!E16</x:f>
        <x:v>Neutral</x:v>
      </x:c>
      <x:c r="F60" s="19" t="n">
        <x:f>IF('Static Raw'!N11='Static Raw'!N16,1,0)</x:f>
        <x:v>0</x:v>
      </x:c>
      <x:c r="G60" s="19" t="n">
        <x:f>IF('Static Raw'!P11='Static Raw'!P16,1,0)</x:f>
        <x:v>0</x:v>
      </x:c>
      <x:c r="H60" s="19" t="n">
        <x:f>IF('Static Raw'!R11='Static Raw'!R16,1,0)</x:f>
        <x:v>0</x:v>
      </x:c>
      <x:c r="I60" s="19" t="n">
        <x:f>1-(F60+G60+H60)/3</x:f>
        <x:v>1</x:v>
      </x:c>
      <x:c r="J60" s="19" t="n">
        <x:f>SUMPRODUCT('Static Raw'!I11:M11,'Static Raw'!I16:M16)/(SQRT(SUMSQ('Static Raw'!I11:M11))*SQRT(SUMSQ('Static Raw'!I16:M16)))</x:f>
        <x:v>0.045051590697607544</x:v>
      </x:c>
      <x:c r="K60" s="19" t="n">
        <x:f>1-J60</x:f>
        <x:v>0.9549484093023924</x:v>
      </x:c>
    </x:row>
    <x:row r="61">
      <x:c r="A61" s="16" t="str">
        <x:v>Player_08 vs Player_09</x:v>
      </x:c>
      <x:c r="B61" s="16" t="str">
        <x:f>'Static Raw'!C12</x:f>
        <x:v>Player_08</x:v>
      </x:c>
      <x:c r="C61" s="16" t="str">
        <x:f>'Static Raw'!C13</x:f>
        <x:v>Player_09</x:v>
      </x:c>
      <x:c r="D61" s="16" t="str">
        <x:f>'Static Raw'!E12</x:f>
        <x:v>Forest</x:v>
      </x:c>
      <x:c r="E61" s="16" t="str">
        <x:f>'Static Raw'!E13</x:f>
        <x:v>Neutral</x:v>
      </x:c>
      <x:c r="F61" s="19" t="n">
        <x:f>IF('Static Raw'!N12='Static Raw'!N13,1,0)</x:f>
        <x:v>0</x:v>
      </x:c>
      <x:c r="G61" s="19" t="n">
        <x:f>IF('Static Raw'!P12='Static Raw'!P13,1,0)</x:f>
        <x:v>0</x:v>
      </x:c>
      <x:c r="H61" s="19" t="n">
        <x:f>IF('Static Raw'!R12='Static Raw'!R13,1,0)</x:f>
        <x:v>0</x:v>
      </x:c>
      <x:c r="I61" s="19" t="n">
        <x:f>1-(F61+G61+H61)/3</x:f>
        <x:v>1</x:v>
      </x:c>
      <x:c r="J61" s="19" t="n">
        <x:f>SUMPRODUCT('Static Raw'!I12:M12,'Static Raw'!I13:M13)/(SQRT(SUMSQ('Static Raw'!I12:M12))*SQRT(SUMSQ('Static Raw'!I13:M13)))</x:f>
        <x:v>0.3248720333305342</x:v>
      </x:c>
      <x:c r="K61" s="19" t="n">
        <x:f>1-J61</x:f>
        <x:v>0.6751279666694658</x:v>
      </x:c>
    </x:row>
    <x:row r="62">
      <x:c r="A62" s="16" t="str">
        <x:v>Player_08 vs Player_10</x:v>
      </x:c>
      <x:c r="B62" s="16" t="str">
        <x:f>'Static Raw'!C12</x:f>
        <x:v>Player_08</x:v>
      </x:c>
      <x:c r="C62" s="16" t="str">
        <x:f>'Static Raw'!C14</x:f>
        <x:v>Player_10</x:v>
      </x:c>
      <x:c r="D62" s="16" t="str">
        <x:f>'Static Raw'!E12</x:f>
        <x:v>Forest</x:v>
      </x:c>
      <x:c r="E62" s="16" t="str">
        <x:f>'Static Raw'!E14</x:f>
        <x:v>Neutral</x:v>
      </x:c>
      <x:c r="F62" s="19" t="n">
        <x:f>IF('Static Raw'!N12='Static Raw'!N14,1,0)</x:f>
        <x:v>1</x:v>
      </x:c>
      <x:c r="G62" s="19" t="n">
        <x:f>IF('Static Raw'!P12='Static Raw'!P14,1,0)</x:f>
        <x:v>0</x:v>
      </x:c>
      <x:c r="H62" s="19" t="n">
        <x:f>IF('Static Raw'!R12='Static Raw'!R14,1,0)</x:f>
        <x:v>0</x:v>
      </x:c>
      <x:c r="I62" s="19" t="n">
        <x:f>1-(F62+G62+H62)/3</x:f>
        <x:v>0.6666666666666667</x:v>
      </x:c>
      <x:c r="J62" s="19" t="n">
        <x:f>SUMPRODUCT('Static Raw'!I12:M12,'Static Raw'!I14:M14)/(SQRT(SUMSQ('Static Raw'!I12:M12))*SQRT(SUMSQ('Static Raw'!I14:M14)))</x:f>
        <x:v>0.5081202305467407</x:v>
      </x:c>
      <x:c r="K62" s="19" t="n">
        <x:f>1-J62</x:f>
        <x:v>0.4918797694532593</x:v>
      </x:c>
    </x:row>
    <x:row r="63">
      <x:c r="A63" s="16" t="str">
        <x:v>Player_08 vs Player_11</x:v>
      </x:c>
      <x:c r="B63" s="16" t="str">
        <x:f>'Static Raw'!C12</x:f>
        <x:v>Player_08</x:v>
      </x:c>
      <x:c r="C63" s="16" t="str">
        <x:f>'Static Raw'!C15</x:f>
        <x:v>Player_11</x:v>
      </x:c>
      <x:c r="D63" s="16" t="str">
        <x:f>'Static Raw'!E12</x:f>
        <x:v>Forest</x:v>
      </x:c>
      <x:c r="E63" s="16" t="str">
        <x:f>'Static Raw'!E15</x:f>
        <x:v>Forest</x:v>
      </x:c>
      <x:c r="F63" s="19" t="n">
        <x:f>IF('Static Raw'!N12='Static Raw'!N15,1,0)</x:f>
        <x:v>0</x:v>
      </x:c>
      <x:c r="G63" s="19" t="n">
        <x:f>IF('Static Raw'!P12='Static Raw'!P15,1,0)</x:f>
        <x:v>0</x:v>
      </x:c>
      <x:c r="H63" s="19" t="n">
        <x:f>IF('Static Raw'!R12='Static Raw'!R15,1,0)</x:f>
        <x:v>1</x:v>
      </x:c>
      <x:c r="I63" s="19" t="n">
        <x:f>1-(F63+G63+H63)/3</x:f>
        <x:v>0.6666666666666667</x:v>
      </x:c>
      <x:c r="J63" s="19" t="n">
        <x:f>SUMPRODUCT('Static Raw'!I12:M12,'Static Raw'!I15:M15)/(SQRT(SUMSQ('Static Raw'!I12:M12))*SQRT(SUMSQ('Static Raw'!I15:M15)))</x:f>
        <x:v>0.8971065961295527</x:v>
      </x:c>
      <x:c r="K63" s="19" t="n">
        <x:f>1-J63</x:f>
        <x:v>0.10289340387044732</x:v>
      </x:c>
    </x:row>
    <x:row r="64">
      <x:c r="A64" s="16" t="str">
        <x:v>Player_08 vs Player_12</x:v>
      </x:c>
      <x:c r="B64" s="16" t="str">
        <x:f>'Static Raw'!C12</x:f>
        <x:v>Player_08</x:v>
      </x:c>
      <x:c r="C64" s="16" t="str">
        <x:f>'Static Raw'!C16</x:f>
        <x:v>Player_12</x:v>
      </x:c>
      <x:c r="D64" s="16" t="str">
        <x:f>'Static Raw'!E12</x:f>
        <x:v>Forest</x:v>
      </x:c>
      <x:c r="E64" s="16" t="str">
        <x:f>'Static Raw'!E16</x:f>
        <x:v>Neutral</x:v>
      </x:c>
      <x:c r="F64" s="19" t="n">
        <x:f>IF('Static Raw'!N12='Static Raw'!N16,1,0)</x:f>
        <x:v>1</x:v>
      </x:c>
      <x:c r="G64" s="19" t="n">
        <x:f>IF('Static Raw'!P12='Static Raw'!P16,1,0)</x:f>
        <x:v>1</x:v>
      </x:c>
      <x:c r="H64" s="19" t="n">
        <x:f>IF('Static Raw'!R12='Static Raw'!R16,1,0)</x:f>
        <x:v>0</x:v>
      </x:c>
      <x:c r="I64" s="19" t="n">
        <x:f>1-(F64+G64+H64)/3</x:f>
        <x:v>0.33333333333333337</x:v>
      </x:c>
      <x:c r="J64" s="19" t="n">
        <x:f>SUMPRODUCT('Static Raw'!I12:M12,'Static Raw'!I16:M16)/(SQRT(SUMSQ('Static Raw'!I12:M12))*SQRT(SUMSQ('Static Raw'!I16:M16)))</x:f>
        <x:v>0.9442167510612077</x:v>
      </x:c>
      <x:c r="K64" s="19" t="n">
        <x:f>1-J64</x:f>
        <x:v>0.055783248938792274</x:v>
      </x:c>
    </x:row>
    <x:row r="65">
      <x:c r="A65" s="16" t="str">
        <x:v>Player_09 vs Player_10</x:v>
      </x:c>
      <x:c r="B65" s="16" t="str">
        <x:f>'Static Raw'!C13</x:f>
        <x:v>Player_09</x:v>
      </x:c>
      <x:c r="C65" s="16" t="str">
        <x:f>'Static Raw'!C14</x:f>
        <x:v>Player_10</x:v>
      </x:c>
      <x:c r="D65" s="16" t="str">
        <x:f>'Static Raw'!E13</x:f>
        <x:v>Neutral</x:v>
      </x:c>
      <x:c r="E65" s="16" t="str">
        <x:f>'Static Raw'!E14</x:f>
        <x:v>Neutral</x:v>
      </x:c>
      <x:c r="F65" s="19" t="n">
        <x:f>IF('Static Raw'!N13='Static Raw'!N14,1,0)</x:f>
        <x:v>0</x:v>
      </x:c>
      <x:c r="G65" s="19" t="n">
        <x:f>IF('Static Raw'!P13='Static Raw'!P14,1,0)</x:f>
        <x:v>0</x:v>
      </x:c>
      <x:c r="H65" s="19" t="n">
        <x:f>IF('Static Raw'!R13='Static Raw'!R14,1,0)</x:f>
        <x:v>0</x:v>
      </x:c>
      <x:c r="I65" s="19" t="n">
        <x:f>1-(F65+G65+H65)/3</x:f>
        <x:v>1</x:v>
      </x:c>
      <x:c r="J65" s="19" t="n">
        <x:f>SUMPRODUCT('Static Raw'!I13:M13,'Static Raw'!I14:M14)/(SQRT(SUMSQ('Static Raw'!I13:M13))*SQRT(SUMSQ('Static Raw'!I14:M14)))</x:f>
        <x:v>0.7154014333620609</x:v>
      </x:c>
      <x:c r="K65" s="19" t="n">
        <x:f>1-J65</x:f>
        <x:v>0.28459856663793914</x:v>
      </x:c>
    </x:row>
    <x:row r="66">
      <x:c r="A66" s="16" t="str">
        <x:v>Player_09 vs Player_11</x:v>
      </x:c>
      <x:c r="B66" s="16" t="str">
        <x:f>'Static Raw'!C13</x:f>
        <x:v>Player_09</x:v>
      </x:c>
      <x:c r="C66" s="16" t="str">
        <x:f>'Static Raw'!C15</x:f>
        <x:v>Player_11</x:v>
      </x:c>
      <x:c r="D66" s="16" t="str">
        <x:f>'Static Raw'!E13</x:f>
        <x:v>Neutral</x:v>
      </x:c>
      <x:c r="E66" s="16" t="str">
        <x:f>'Static Raw'!E15</x:f>
        <x:v>Forest</x:v>
      </x:c>
      <x:c r="F66" s="19" t="n">
        <x:f>IF('Static Raw'!N13='Static Raw'!N15,1,0)</x:f>
        <x:v>0</x:v>
      </x:c>
      <x:c r="G66" s="19" t="n">
        <x:f>IF('Static Raw'!P13='Static Raw'!P15,1,0)</x:f>
        <x:v>0</x:v>
      </x:c>
      <x:c r="H66" s="19" t="n">
        <x:f>IF('Static Raw'!R13='Static Raw'!R15,1,0)</x:f>
        <x:v>0</x:v>
      </x:c>
      <x:c r="I66" s="19" t="n">
        <x:f>1-(F66+G66+H66)/3</x:f>
        <x:v>1</x:v>
      </x:c>
      <x:c r="J66" s="19" t="n">
        <x:f>SUMPRODUCT('Static Raw'!I13:M13,'Static Raw'!I15:M15)/(SQRT(SUMSQ('Static Raw'!I13:M13))*SQRT(SUMSQ('Static Raw'!I15:M15)))</x:f>
        <x:v>0.17633991408474686</x:v>
      </x:c>
      <x:c r="K66" s="19" t="n">
        <x:f>1-J66</x:f>
        <x:v>0.8236600859152532</x:v>
      </x:c>
    </x:row>
    <x:row r="67">
      <x:c r="A67" s="16" t="str">
        <x:v>Player_09 vs Player_12</x:v>
      </x:c>
      <x:c r="B67" s="16" t="str">
        <x:f>'Static Raw'!C13</x:f>
        <x:v>Player_09</x:v>
      </x:c>
      <x:c r="C67" s="16" t="str">
        <x:f>'Static Raw'!C16</x:f>
        <x:v>Player_12</x:v>
      </x:c>
      <x:c r="D67" s="16" t="str">
        <x:f>'Static Raw'!E13</x:f>
        <x:v>Neutral</x:v>
      </x:c>
      <x:c r="E67" s="16" t="str">
        <x:f>'Static Raw'!E16</x:f>
        <x:v>Neutral</x:v>
      </x:c>
      <x:c r="F67" s="19" t="n">
        <x:f>IF('Static Raw'!N13='Static Raw'!N16,1,0)</x:f>
        <x:v>0</x:v>
      </x:c>
      <x:c r="G67" s="19" t="n">
        <x:f>IF('Static Raw'!P13='Static Raw'!P16,1,0)</x:f>
        <x:v>0</x:v>
      </x:c>
      <x:c r="H67" s="19" t="n">
        <x:f>IF('Static Raw'!R13='Static Raw'!R16,1,0)</x:f>
        <x:v>1</x:v>
      </x:c>
      <x:c r="I67" s="19" t="n">
        <x:f>1-(F67+G67+H67)/3</x:f>
        <x:v>0.6666666666666667</x:v>
      </x:c>
      <x:c r="J67" s="19" t="n">
        <x:f>SUMPRODUCT('Static Raw'!I13:M13,'Static Raw'!I16:M16)/(SQRT(SUMSQ('Static Raw'!I13:M13))*SQRT(SUMSQ('Static Raw'!I16:M16)))</x:f>
        <x:v>0.11225705890334245</x:v>
      </x:c>
      <x:c r="K67" s="19" t="n">
        <x:f>1-J67</x:f>
        <x:v>0.8877429410966575</x:v>
      </x:c>
    </x:row>
    <x:row r="68">
      <x:c r="A68" s="16" t="str">
        <x:v>Player_10 vs Player_11</x:v>
      </x:c>
      <x:c r="B68" s="16" t="str">
        <x:f>'Static Raw'!C14</x:f>
        <x:v>Player_10</x:v>
      </x:c>
      <x:c r="C68" s="16" t="str">
        <x:f>'Static Raw'!C15</x:f>
        <x:v>Player_11</x:v>
      </x:c>
      <x:c r="D68" s="16" t="str">
        <x:f>'Static Raw'!E14</x:f>
        <x:v>Neutral</x:v>
      </x:c>
      <x:c r="E68" s="16" t="str">
        <x:f>'Static Raw'!E15</x:f>
        <x:v>Forest</x:v>
      </x:c>
      <x:c r="F68" s="19" t="n">
        <x:f>IF('Static Raw'!N14='Static Raw'!N15,1,0)</x:f>
        <x:v>0</x:v>
      </x:c>
      <x:c r="G68" s="19" t="n">
        <x:f>IF('Static Raw'!P14='Static Raw'!P15,1,0)</x:f>
        <x:v>0</x:v>
      </x:c>
      <x:c r="H68" s="19" t="n">
        <x:f>IF('Static Raw'!R14='Static Raw'!R15,1,0)</x:f>
        <x:v>0</x:v>
      </x:c>
      <x:c r="I68" s="19" t="n">
        <x:f>1-(F68+G68+H68)/3</x:f>
        <x:v>1</x:v>
      </x:c>
      <x:c r="J68" s="19" t="n">
        <x:f>SUMPRODUCT('Static Raw'!I14:M14,'Static Raw'!I15:M15)/(SQRT(SUMSQ('Static Raw'!I14:M14))*SQRT(SUMSQ('Static Raw'!I15:M15)))</x:f>
        <x:v>0.4984311331837778</x:v>
      </x:c>
      <x:c r="K68" s="19" t="n">
        <x:f>1-J68</x:f>
        <x:v>0.5015688668162221</x:v>
      </x:c>
    </x:row>
    <x:row r="69">
      <x:c r="A69" s="16" t="str">
        <x:v>Player_10 vs Player_12</x:v>
      </x:c>
      <x:c r="B69" s="16" t="str">
        <x:f>'Static Raw'!C14</x:f>
        <x:v>Player_10</x:v>
      </x:c>
      <x:c r="C69" s="16" t="str">
        <x:f>'Static Raw'!C16</x:f>
        <x:v>Player_12</x:v>
      </x:c>
      <x:c r="D69" s="16" t="str">
        <x:f>'Static Raw'!E14</x:f>
        <x:v>Neutral</x:v>
      </x:c>
      <x:c r="E69" s="16" t="str">
        <x:f>'Static Raw'!E16</x:f>
        <x:v>Neutral</x:v>
      </x:c>
      <x:c r="F69" s="19" t="n">
        <x:f>IF('Static Raw'!N14='Static Raw'!N16,1,0)</x:f>
        <x:v>1</x:v>
      </x:c>
      <x:c r="G69" s="19" t="n">
        <x:f>IF('Static Raw'!P14='Static Raw'!P16,1,0)</x:f>
        <x:v>0</x:v>
      </x:c>
      <x:c r="H69" s="19" t="n">
        <x:f>IF('Static Raw'!R14='Static Raw'!R16,1,0)</x:f>
        <x:v>0</x:v>
      </x:c>
      <x:c r="I69" s="19" t="n">
        <x:f>1-(F69+G69+H69)/3</x:f>
        <x:v>0.6666666666666667</x:v>
      </x:c>
      <x:c r="J69" s="19" t="n">
        <x:f>SUMPRODUCT('Static Raw'!I14:M14,'Static Raw'!I16:M16)/(SQRT(SUMSQ('Static Raw'!I14:M14))*SQRT(SUMSQ('Static Raw'!I16:M16)))</x:f>
        <x:v>0.2602045871193423</x:v>
      </x:c>
      <x:c r="K69" s="19" t="n">
        <x:f>1-J69</x:f>
        <x:v>0.7397954128806576</x:v>
      </x:c>
    </x:row>
    <x:row r="70">
      <x:c r="A70" s="16" t="str">
        <x:v>Player_11 vs Player_12</x:v>
      </x:c>
      <x:c r="B70" s="16" t="str">
        <x:f>'Static Raw'!C15</x:f>
        <x:v>Player_11</x:v>
      </x:c>
      <x:c r="C70" s="16" t="str">
        <x:f>'Static Raw'!C16</x:f>
        <x:v>Player_12</x:v>
      </x:c>
      <x:c r="D70" s="16" t="str">
        <x:f>'Static Raw'!E15</x:f>
        <x:v>Forest</x:v>
      </x:c>
      <x:c r="E70" s="16" t="str">
        <x:f>'Static Raw'!E16</x:f>
        <x:v>Neutral</x:v>
      </x:c>
      <x:c r="F70" s="19" t="n">
        <x:f>IF('Static Raw'!N15='Static Raw'!N16,1,0)</x:f>
        <x:v>0</x:v>
      </x:c>
      <x:c r="G70" s="19" t="n">
        <x:f>IF('Static Raw'!P15='Static Raw'!P16,1,0)</x:f>
        <x:v>0</x:v>
      </x:c>
      <x:c r="H70" s="19" t="n">
        <x:f>IF('Static Raw'!R15='Static Raw'!R16,1,0)</x:f>
        <x:v>0</x:v>
      </x:c>
      <x:c r="I70" s="19" t="n">
        <x:f>1-(F70+G70+H70)/3</x:f>
        <x:v>1</x:v>
      </x:c>
      <x:c r="J70" s="19" t="n">
        <x:f>SUMPRODUCT('Static Raw'!I15:M15,'Static Raw'!I16:M16)/(SQRT(SUMSQ('Static Raw'!I15:M15))*SQRT(SUMSQ('Static Raw'!I16:M16)))</x:f>
        <x:v>0.921543398954193</x:v>
      </x:c>
      <x:c r="K70" s="19" t="n">
        <x:f>1-J70</x:f>
        <x:v>0.07845660104580698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2825233ee3a4b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4" t="str">
        <x:v>Designed semantic transition directions</x:v>
      </x:c>
    </x:row>
    <x:row r="2" ht="34" customHeight="1">
      <x:c r="A2" s="8" t="str">
        <x:v>Reference vectors used to evaluate whether a planned transition moves in its intended semantic direction.</x:v>
      </x:c>
    </x:row>
    <x:row r="4">
      <x:c r="A4" s="14" t="str">
        <x:v>Expected Direction</x:v>
      </x:c>
      <x:c r="B4" s="14" t="str">
        <x:v>Δ Ice</x:v>
      </x:c>
      <x:c r="C4" s="14" t="str">
        <x:v>Δ Forest</x:v>
      </x:c>
      <x:c r="D4" s="14" t="str">
        <x:v>Δ Galaxy</x:v>
      </x:c>
      <x:c r="E4" s="14" t="str">
        <x:v>Δ Ocean</x:v>
      </x:c>
      <x:c r="F4" s="14" t="str">
        <x:v>Δ Holy</x:v>
      </x:c>
    </x:row>
    <x:row r="5">
      <x:c r="A5" s="16" t="str">
        <x:v>IceToForest</x:v>
      </x:c>
      <x:c r="B5" s="16" t="n">
        <x:v>-1</x:v>
      </x:c>
      <x:c r="C5" s="16" t="n">
        <x:v>1</x:v>
      </x:c>
      <x:c r="D5" s="16" t="n">
        <x:v>0</x:v>
      </x:c>
      <x:c r="E5" s="16" t="n">
        <x:v>0</x:v>
      </x:c>
      <x:c r="F5" s="16" t="n">
        <x:v>0</x:v>
      </x:c>
    </x:row>
    <x:row r="6">
      <x:c r="A6" s="16" t="str">
        <x:v>ForestToOcean</x:v>
      </x:c>
      <x:c r="B6" s="16" t="n">
        <x:v>0</x:v>
      </x:c>
      <x:c r="C6" s="16" t="n">
        <x:v>-1</x:v>
      </x:c>
      <x:c r="D6" s="16" t="n">
        <x:v>0</x:v>
      </x:c>
      <x:c r="E6" s="16" t="n">
        <x:v>1</x:v>
      </x:c>
      <x:c r="F6" s="16" t="n">
        <x:v>0</x:v>
      </x:c>
    </x:row>
    <x:row r="7">
      <x:c r="A7" s="16" t="str">
        <x:v>OceanToIce</x:v>
      </x:c>
      <x:c r="B7" s="16" t="n">
        <x:v>1</x:v>
      </x:c>
      <x:c r="C7" s="16" t="n">
        <x:v>0</x:v>
      </x:c>
      <x:c r="D7" s="16" t="n">
        <x:v>0</x:v>
      </x:c>
      <x:c r="E7" s="16" t="n">
        <x:v>-1</x:v>
      </x:c>
      <x:c r="F7" s="16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6" customHeight="1">
      <x:c r="A1" s="4" t="str">
        <x:v>Dynamic directional-consistency audit</x:v>
      </x:c>
    </x:row>
    <x:row r="2" ht="34" customHeight="1">
      <x:c r="A2" s="8" t="str">
        <x:v>Only nodes explicitly marked as planned transitions are tested. Raw semantic axes are used to observe immediate response direction.</x:v>
      </x:c>
    </x:row>
    <x:row r="4">
      <x:c r="A4" s="14" t="str">
        <x:v>Node ID</x:v>
      </x:c>
      <x:c r="B4" s="14" t="str">
        <x:v>Day</x:v>
      </x:c>
      <x:c r="C4" s="14" t="str">
        <x:v>Expected Direction</x:v>
      </x:c>
      <x:c r="D4" s="14" t="str">
        <x:v>Previous Node</x:v>
      </x:c>
      <x:c r="E4" s="14" t="str">
        <x:v>Previous Day</x:v>
      </x:c>
      <x:c r="F4" s="14" t="str">
        <x:v>Δ Ice</x:v>
      </x:c>
      <x:c r="G4" s="14" t="str">
        <x:v>Δ Forest</x:v>
      </x:c>
      <x:c r="H4" s="14" t="str">
        <x:v>Δ Galaxy</x:v>
      </x:c>
      <x:c r="I4" s="14" t="str">
        <x:v>Δ Ocean</x:v>
      </x:c>
      <x:c r="J4" s="14" t="str">
        <x:v>Δ Holy</x:v>
      </x:c>
      <x:c r="K4" s="14" t="str">
        <x:v>Expected Δ Ice</x:v>
      </x:c>
      <x:c r="L4" s="14" t="str">
        <x:v>Expected Δ Forest</x:v>
      </x:c>
      <x:c r="M4" s="14" t="str">
        <x:v>Expected Δ Galaxy</x:v>
      </x:c>
      <x:c r="N4" s="14" t="str">
        <x:v>Expected Δ Ocean</x:v>
      </x:c>
      <x:c r="O4" s="14" t="str">
        <x:v>Expected Δ Holy</x:v>
      </x:c>
      <x:c r="P4" s="14" t="str">
        <x:v>Dot Product</x:v>
      </x:c>
      <x:c r="Q4" s="14" t="str">
        <x:v>Observed Norm</x:v>
      </x:c>
      <x:c r="R4" s="14" t="str">
        <x:v>Expected Norm</x:v>
      </x:c>
      <x:c r="S4" s="14" t="str">
        <x:v>Directional Consistency</x:v>
      </x:c>
    </x:row>
    <x:row r="5">
      <x:c r="A5" s="16" t="str">
        <x:f>'Dynamic Raw'!D7</x:f>
        <x:v>Day08_ForestCommitment</x:v>
      </x:c>
      <x:c r="B5" s="19" t="n">
        <x:f>'Dynamic Raw'!E7</x:f>
        <x:v>8</x:v>
      </x:c>
      <x:c r="C5" s="19" t="str">
        <x:f>'Dynamic Raw'!H7</x:f>
        <x:v>IceToForest</x:v>
      </x:c>
      <x:c r="D5" s="19" t="str">
        <x:f>'Dynamic Raw'!D6</x:f>
        <x:v>Day04_IceSettled</x:v>
      </x:c>
      <x:c r="E5" s="19" t="n">
        <x:f>'Dynamic Raw'!E6</x:f>
        <x:v>4</x:v>
      </x:c>
      <x:c r="F5" s="19" t="n">
        <x:f>'Dynamic Raw'!M7-'Dynamic Raw'!M6</x:f>
        <x:v>-0.39807099999999995</x:v>
      </x:c>
      <x:c r="G5" s="19" t="n">
        <x:f>'Dynamic Raw'!N7-'Dynamic Raw'!N6</x:f>
        <x:v>0.32342400000000004</x:v>
      </x:c>
      <x:c r="H5" s="19" t="n">
        <x:f>'Dynamic Raw'!O7-'Dynamic Raw'!O6</x:f>
        <x:v>0</x:v>
      </x:c>
      <x:c r="I5" s="19" t="n">
        <x:f>'Dynamic Raw'!P7-'Dynamic Raw'!P6</x:f>
        <x:v>-0.011249999999999996</x:v>
      </x:c>
      <x:c r="J5" s="19" t="n">
        <x:f>'Dynamic Raw'!Q7-'Dynamic Raw'!Q6</x:f>
        <x:v>-0.041720999999999994</x:v>
      </x:c>
      <x:c r="K5" s="19" t="n">
        <x:f>IF(C5="IceToForest",-1,IF(C5="ForestToOcean",0,IF(C5="OceanToIce",1,0)))</x:f>
        <x:v>-1</x:v>
      </x:c>
      <x:c r="L5" s="19" t="n">
        <x:f>IF(C5="IceToForest",1,IF(C5="ForestToOcean",-1,0))</x:f>
        <x:v>1</x:v>
      </x:c>
      <x:c r="M5" s="19" t="n">
        <x:f>0</x:f>
        <x:v>0</x:v>
      </x:c>
      <x:c r="N5" s="19" t="n">
        <x:f>IF(C5="ForestToOcean",1,IF(C5="OceanToIce",-1,0))</x:f>
        <x:v>0</x:v>
      </x:c>
      <x:c r="O5" s="19" t="n">
        <x:f>0</x:f>
        <x:v>0</x:v>
      </x:c>
      <x:c r="P5" s="19" t="n">
        <x:f>SUMPRODUCT(F5:J5,K5:O5)</x:f>
        <x:v>0.721495</x:v>
      </x:c>
      <x:c r="Q5" s="19" t="n">
        <x:f>SQRT(SUMSQ(F5:J5))</x:f>
        <x:v>0.5147142985754329</x:v>
      </x:c>
      <x:c r="R5" s="19" t="n">
        <x:f>SQRT(SUMSQ(K5:O5))</x:f>
        <x:v>1.4142135623730951</x:v>
      </x:c>
      <x:c r="S5" s="19" t="n">
        <x:f>IF(OR(Q5=0,R5=0),0,P5/(Q5*R5))</x:f>
        <x:v>0.991179006497758</x:v>
      </x:c>
    </x:row>
    <x:row r="6">
      <x:c r="A6" s="16" t="str">
        <x:f>'Dynamic Raw'!D10</x:f>
        <x:v>Day27_SeaTurtleDefeat</x:v>
      </x:c>
      <x:c r="B6" s="19" t="n">
        <x:f>'Dynamic Raw'!E10</x:f>
        <x:v>27</x:v>
      </x:c>
      <x:c r="C6" s="19" t="str">
        <x:f>'Dynamic Raw'!H10</x:f>
        <x:v>ForestToOcean</x:v>
      </x:c>
      <x:c r="D6" s="19" t="str">
        <x:f>'Dynamic Raw'!D9</x:f>
        <x:v>Day20_OceanDiscovery</x:v>
      </x:c>
      <x:c r="E6" s="19" t="n">
        <x:f>'Dynamic Raw'!E9</x:f>
        <x:v>20</x:v>
      </x:c>
      <x:c r="F6" s="19" t="n">
        <x:f>'Dynamic Raw'!M10-'Dynamic Raw'!M9</x:f>
        <x:v>-0.016996999999999998</x:v>
      </x:c>
      <x:c r="G6" s="19" t="n">
        <x:f>'Dynamic Raw'!N10-'Dynamic Raw'!N9</x:f>
        <x:v>-0.12118199999999998</x:v>
      </x:c>
      <x:c r="H6" s="19" t="n">
        <x:f>'Dynamic Raw'!O10-'Dynamic Raw'!O9</x:f>
        <x:v>0</x:v>
      </x:c>
      <x:c r="I6" s="19" t="n">
        <x:f>'Dynamic Raw'!P10-'Dynamic Raw'!P9</x:f>
        <x:v>0.573364</x:v>
      </x:c>
      <x:c r="J6" s="19" t="n">
        <x:f>'Dynamic Raw'!Q10-'Dynamic Raw'!Q9</x:f>
        <x:v>0.027404999999999992</x:v>
      </x:c>
      <x:c r="K6" s="19" t="n">
        <x:f>IF(C6="IceToForest",-1,IF(C6="ForestToOcean",0,IF(C6="OceanToIce",1,0)))</x:f>
        <x:v>0</x:v>
      </x:c>
      <x:c r="L6" s="19" t="n">
        <x:f>IF(C6="IceToForest",1,IF(C6="ForestToOcean",-1,0))</x:f>
        <x:v>-1</x:v>
      </x:c>
      <x:c r="M6" s="19" t="n">
        <x:f>0</x:f>
        <x:v>0</x:v>
      </x:c>
      <x:c r="N6" s="19" t="n">
        <x:f>IF(C6="ForestToOcean",1,IF(C6="OceanToIce",-1,0))</x:f>
        <x:v>1</x:v>
      </x:c>
      <x:c r="O6" s="19" t="n">
        <x:f>0</x:f>
        <x:v>0</x:v>
      </x:c>
      <x:c r="P6" s="19" t="n">
        <x:f>SUMPRODUCT(F6:J6,K6:O6)</x:f>
        <x:v>0.694546</x:v>
      </x:c>
      <x:c r="Q6" s="19" t="n">
        <x:f>SQRT(SUMSQ(F6:J6))</x:f>
        <x:v>0.5869167621170824</x:v>
      </x:c>
      <x:c r="R6" s="19" t="n">
        <x:f>SQRT(SUMSQ(K6:O6))</x:f>
        <x:v>1.4142135623730951</x:v>
      </x:c>
      <x:c r="S6" s="19" t="n">
        <x:f>IF(OR(Q6=0,R6=0),0,P6/(Q6*R6))</x:f>
        <x:v>0.8367765552894875</x:v>
      </x:c>
    </x:row>
    <x:row r="7">
      <x:c r="A7" s="16" t="str">
        <x:f>'Dynamic Raw'!D11</x:f>
        <x:v>Day39_IceDragonRematch</x:v>
      </x:c>
      <x:c r="B7" s="19" t="n">
        <x:f>'Dynamic Raw'!E11</x:f>
        <x:v>39</x:v>
      </x:c>
      <x:c r="C7" s="19" t="str">
        <x:f>'Dynamic Raw'!H11</x:f>
        <x:v>OceanToIce</x:v>
      </x:c>
      <x:c r="D7" s="19" t="str">
        <x:f>'Dynamic Raw'!D10</x:f>
        <x:v>Day27_SeaTurtleDefeat</x:v>
      </x:c>
      <x:c r="E7" s="19" t="n">
        <x:f>'Dynamic Raw'!E10</x:f>
        <x:v>27</x:v>
      </x:c>
      <x:c r="F7" s="19" t="n">
        <x:f>'Dynamic Raw'!M11-'Dynamic Raw'!M10</x:f>
        <x:v>0.438326</x:v>
      </x:c>
      <x:c r="G7" s="19" t="n">
        <x:f>'Dynamic Raw'!N11-'Dynamic Raw'!N10</x:f>
        <x:v>-0.055324999999999985</x:v>
      </x:c>
      <x:c r="H7" s="19" t="n">
        <x:f>'Dynamic Raw'!O11-'Dynamic Raw'!O10</x:f>
        <x:v>0</x:v>
      </x:c>
      <x:c r="I7" s="19" t="n">
        <x:f>'Dynamic Raw'!P11-'Dynamic Raw'!P10</x:f>
        <x:v>-0.40655299999999994</x:v>
      </x:c>
      <x:c r="J7" s="19" t="n">
        <x:f>'Dynamic Raw'!Q11-'Dynamic Raw'!Q10</x:f>
        <x:v>0.069739</x:v>
      </x:c>
      <x:c r="K7" s="19" t="n">
        <x:f>IF(C7="IceToForest",-1,IF(C7="ForestToOcean",0,IF(C7="OceanToIce",1,0)))</x:f>
        <x:v>1</x:v>
      </x:c>
      <x:c r="L7" s="19" t="n">
        <x:f>IF(C7="IceToForest",1,IF(C7="ForestToOcean",-1,0))</x:f>
        <x:v>0</x:v>
      </x:c>
      <x:c r="M7" s="19" t="n">
        <x:f>0</x:f>
        <x:v>0</x:v>
      </x:c>
      <x:c r="N7" s="19" t="n">
        <x:f>IF(C7="ForestToOcean",1,IF(C7="OceanToIce",-1,0))</x:f>
        <x:v>-1</x:v>
      </x:c>
      <x:c r="O7" s="19" t="n">
        <x:f>0</x:f>
        <x:v>0</x:v>
      </x:c>
      <x:c r="P7" s="19" t="n">
        <x:f>SUMPRODUCT(F7:J7,K7:O7)</x:f>
        <x:v>0.8448789999999999</x:v>
      </x:c>
      <x:c r="Q7" s="19" t="n">
        <x:f>SQRT(SUMSQ(F7:J7))</x:f>
        <x:v>0.6044331293294569</x:v>
      </x:c>
      <x:c r="R7" s="19" t="n">
        <x:f>SQRT(SUMSQ(K7:O7))</x:f>
        <x:v>1.4142135623730951</x:v>
      </x:c>
      <x:c r="S7" s="19" t="n">
        <x:f>IF(OR(Q7=0,R7=0),0,P7/(Q7*R7))</x:f>
        <x:v>0.9883966334619538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2" hidden="0" customWidth="1"/>
    <x:col min="4" max="4" width="5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6" customHeight="1">
      <x:c r="A1" s="4" t="str">
        <x:v>PCG-VFX evaluation summary</x:v>
      </x:c>
    </x:row>
    <x:row r="2" ht="34" customHeight="1">
      <x:c r="A2" s="8" t="str">
        <x:v>Formula-driven results for the selected five metrics: static distinguishability, dynamic response, and temporal decay.</x:v>
      </x:c>
    </x:row>
    <x:row r="4" ht="34" customHeight="1">
      <x:c r="A4" s="14" t="str">
        <x:v>Metric</x:v>
      </x:c>
      <x:c r="B4" s="14" t="str">
        <x:v>Value</x:v>
      </x:c>
      <x:c r="C4" s="14" t="str">
        <x:v>Desired interpretation</x:v>
      </x:c>
      <x:c r="D4" s="14" t="str">
        <x:v>Source calculation</x:v>
      </x:c>
    </x:row>
    <x:row r="5" ht="34" customHeight="1">
      <x:c r="A5" s="17" t="str">
        <x:v>Theme separation</x:v>
      </x:c>
      <x:c r="B5" s="22" t="n">
        <x:f>AVERAGE('Static Pairwise'!K5:K70)</x:f>
        <x:v>0.5355891840442505</x:v>
      </x:c>
      <x:c r="C5" s="17" t="str">
        <x:v>Higher = semantic results of different players are more separable.</x:v>
      </x:c>
      <x:c r="D5" s="17" t="str">
        <x:v>Mean cosine distance across all static-profile pairs.</x:v>
      </x:c>
    </x:row>
    <x:row r="6" ht="34" customHeight="1">
      <x:c r="A6" s="17" t="str">
        <x:v>Slot diversity</x:v>
      </x:c>
      <x:c r="B6" s="22" t="n">
        <x:f>AVERAGE('Static Pairwise'!I5:I70)</x:f>
        <x:v>0.8484848484848482</x:v>
      </x:c>
      <x:c r="C6" s="17" t="str">
        <x:v>Higher = more final Weapon/Boss/Region slot differences across players.</x:v>
      </x:c>
      <x:c r="D6" s="17" t="str">
        <x:v>Mean Hamming distance over three final slot modules.</x:v>
      </x:c>
    </x:row>
    <x:row r="7" ht="34" customHeight="1">
      <x:c r="A7" s="17" t="str">
        <x:v>Trajectory hit rate</x:v>
      </x:c>
      <x:c r="B7" s="22" t="n">
        <x:f>AVERAGE('Dynamic Raw'!Z5:Z11)</x:f>
        <x:v>0.8571428571428571</x:v>
      </x:c>
      <x:c r="C7" s="17" t="str">
        <x:v>Higher = generated theme agrees with the designed trajectory state more often.</x:v>
      </x:c>
      <x:c r="D7" s="17" t="str">
        <x:v>OutputTheme equals ExpectedTheme at each dynamic node.</x:v>
      </x:c>
    </x:row>
    <x:row r="8" ht="34" customHeight="1">
      <x:c r="A8" s="17" t="str">
        <x:v>Directional consistency</x:v>
      </x:c>
      <x:c r="B8" s="22" t="n">
        <x:f>AVERAGE('Direction Audit'!S5:S7)</x:f>
        <x:v>0.9387840650830664</x:v>
      </x:c>
      <x:c r="C8" s="17" t="str">
        <x:v>Closer to +1 = change follows the planned semantic transition direction.</x:v>
      </x:c>
      <x:c r="D8" s="17" t="str">
        <x:v>Cosine similarity on planned transition nodes only.</x:v>
      </x:c>
    </x:row>
    <x:row r="9" ht="34" customHeight="1">
      <x:c r="A9" s="17" t="str">
        <x:v>Decay correctness (MAE)</x:v>
      </x:c>
      <x:c r="B9" s="22" t="n">
        <x:f>AVERAGE('Decay Raw'!N5:N29)</x:f>
        <x:v>0</x:v>
      </x:c>
      <x:c r="C9" s="17" t="str">
        <x:v>Lower = observed decayed values agree with the exponential-decay expectation.</x:v>
      </x:c>
      <x:c r="D9" s="17" t="str">
        <x:v>Mean absolute error over decay-audit records.</x:v>
      </x:c>
    </x:row>
    <x:row r="11">
      <x:c r="A11" s="23" t="str">
        <x:v>Dynamic trajectory: smoothed semantic axes by day</x:v>
      </x:c>
    </x:row>
    <x:row r="12">
      <x:c r="F12" s="14" t="str">
        <x:v>Day</x:v>
      </x:c>
      <x:c r="G12" s="14" t="str">
        <x:v>Ice</x:v>
      </x:c>
      <x:c r="H12" s="14" t="str">
        <x:v>Forest</x:v>
      </x:c>
      <x:c r="I12" s="14" t="str">
        <x:v>Galaxy</x:v>
      </x:c>
      <x:c r="J12" s="14" t="str">
        <x:v>Ocean</x:v>
      </x:c>
      <x:c r="K12" s="14" t="str">
        <x:v>Holy</x:v>
      </x:c>
    </x:row>
    <x:row r="13">
      <x:c r="F13" s="19" t="n">
        <x:f>'Dynamic Raw'!E5</x:f>
        <x:v>1</x:v>
      </x:c>
      <x:c r="G13" s="19" t="n">
        <x:f>'Dynamic Raw'!R5</x:f>
        <x:v>0.731643</x:v>
      </x:c>
      <x:c r="H13" s="19" t="n">
        <x:f>'Dynamic Raw'!S5</x:f>
        <x:v>0.01892</x:v>
      </x:c>
      <x:c r="I13" s="19" t="n">
        <x:f>'Dynamic Raw'!T5</x:f>
        <x:v>0</x:v>
      </x:c>
      <x:c r="J13" s="19" t="n">
        <x:f>'Dynamic Raw'!U5</x:f>
        <x:v>0.06034</x:v>
      </x:c>
      <x:c r="K13" s="19" t="n">
        <x:f>'Dynamic Raw'!V5</x:f>
        <x:v>0.153181</x:v>
      </x:c>
    </x:row>
    <x:row r="14">
      <x:c r="F14" s="19" t="n">
        <x:f>'Dynamic Raw'!E6</x:f>
        <x:v>4</x:v>
      </x:c>
      <x:c r="G14" s="19" t="n">
        <x:f>'Dynamic Raw'!R6</x:f>
        <x:v>0.633848</x:v>
      </x:c>
      <x:c r="H14" s="19" t="n">
        <x:f>'Dynamic Raw'!S6</x:f>
        <x:v>0.013168</x:v>
      </x:c>
      <x:c r="I14" s="19" t="n">
        <x:f>'Dynamic Raw'!T6</x:f>
        <x:v>0</x:v>
      </x:c>
      <x:c r="J14" s="19" t="n">
        <x:f>'Dynamic Raw'!U6</x:f>
        <x:v>0.048835</x:v>
      </x:c>
      <x:c r="K14" s="19" t="n">
        <x:f>'Dynamic Raw'!V6</x:f>
        <x:v>0.13017</x:v>
      </x:c>
    </x:row>
    <x:row r="15">
      <x:c r="F15" s="19" t="n">
        <x:f>'Dynamic Raw'!E7</x:f>
        <x:v>8</x:v>
      </x:c>
      <x:c r="G15" s="19" t="n">
        <x:f>'Dynamic Raw'!R7</x:f>
        <x:v>0.310846</x:v>
      </x:c>
      <x:c r="H15" s="19" t="n">
        <x:f>'Dynamic Raw'!S7</x:f>
        <x:v>0.254298</x:v>
      </x:c>
      <x:c r="I15" s="19" t="n">
        <x:f>'Dynamic Raw'!T7</x:f>
        <x:v>0</x:v>
      </x:c>
      <x:c r="J15" s="19" t="n">
        <x:f>'Dynamic Raw'!U7</x:f>
        <x:v>0.037521</x:v>
      </x:c>
      <x:c r="K15" s="19" t="n">
        <x:f>'Dynamic Raw'!V7</x:f>
        <x:v>0.093127</x:v>
      </x:c>
    </x:row>
    <x:row r="16">
      <x:c r="F16" s="19" t="n">
        <x:f>'Dynamic Raw'!E8</x:f>
        <x:v>14</x:v>
      </x:c>
      <x:c r="G16" s="19" t="n">
        <x:f>'Dynamic Raw'!R8</x:f>
        <x:v>0.1836</x:v>
      </x:c>
      <x:c r="H16" s="19" t="n">
        <x:f>'Dynamic Raw'!S8</x:f>
        <x:v>0.318163</x:v>
      </x:c>
      <x:c r="I16" s="19" t="n">
        <x:f>'Dynamic Raw'!T8</x:f>
        <x:v>0</x:v>
      </x:c>
      <x:c r="J16" s="19" t="n">
        <x:f>'Dynamic Raw'!U8</x:f>
        <x:v>0.029238</x:v>
      </x:c>
      <x:c r="K16" s="19" t="n">
        <x:f>'Dynamic Raw'!V8</x:f>
        <x:v>0.072388</x:v>
      </x:c>
    </x:row>
    <x:row r="17">
      <x:c r="F17" s="19" t="n">
        <x:f>'Dynamic Raw'!E9</x:f>
        <x:v>20</x:v>
      </x:c>
      <x:c r="G17" s="19" t="n">
        <x:f>'Dynamic Raw'!R9</x:f>
        <x:v>0.142417</x:v>
      </x:c>
      <x:c r="H17" s="19" t="n">
        <x:f>'Dynamic Raw'!S9</x:f>
        <x:v>0.327821</x:v>
      </x:c>
      <x:c r="I17" s="19" t="n">
        <x:f>'Dynamic Raw'!T9</x:f>
        <x:v>0</x:v>
      </x:c>
      <x:c r="J17" s="19" t="n">
        <x:f>'Dynamic Raw'!U9</x:f>
        <x:v>0.025239</x:v>
      </x:c>
      <x:c r="K17" s="19" t="n">
        <x:f>'Dynamic Raw'!V9</x:f>
        <x:v>0.063584</x:v>
      </x:c>
    </x:row>
    <x:row r="18">
      <x:c r="F18" s="19" t="n">
        <x:f>'Dynamic Raw'!E10</x:f>
        <x:v>27</x:v>
      </x:c>
      <x:c r="G18" s="19" t="n">
        <x:f>'Dynamic Raw'!R10</x:f>
        <x:v>0.119373</x:v>
      </x:c>
      <x:c r="H18" s="19" t="n">
        <x:f>'Dynamic Raw'!S10</x:f>
        <x:v>0.23935</x:v>
      </x:c>
      <x:c r="I18" s="19" t="n">
        <x:f>'Dynamic Raw'!T10</x:f>
        <x:v>0</x:v>
      </x:c>
      <x:c r="J18" s="19" t="n">
        <x:f>'Dynamic Raw'!U10</x:f>
        <x:v>0.454262</x:v>
      </x:c>
      <x:c r="K18" s="19" t="n">
        <x:f>'Dynamic Raw'!V10</x:f>
        <x:v>0.081937</x:v>
      </x:c>
    </x:row>
    <x:row r="19">
      <x:c r="F19" s="19" t="n">
        <x:f>'Dynamic Raw'!E11</x:f>
        <x:v>39</x:v>
      </x:c>
      <x:c r="G19" s="19" t="n">
        <x:f>'Dynamic Raw'!R11</x:f>
        <x:v>0.442357</x:v>
      </x:c>
      <x:c r="H19" s="19" t="n">
        <x:f>'Dynamic Raw'!S11</x:f>
        <x:v>0.175738</x:v>
      </x:c>
      <x:c r="I19" s="19" t="n">
        <x:f>'Dynamic Raw'!T11</x:f>
        <x:v>0</x:v>
      </x:c>
      <x:c r="J19" s="19" t="n">
        <x:f>'Dynamic Raw'!U11</x:f>
        <x:v>0.256603</x:v>
      </x:c>
      <x:c r="K19" s="19" t="n">
        <x:f>'Dynamic Raw'!V11</x:f>
        <x:v>0.13883</x:v>
      </x:c>
    </x:row>
    <x:row r="33" ht="46" customHeight="1">
      <x:c r="A33" s="28" t="str">
        <x:v>Use this sheet for thesis tables/figures. Raw sheets remain the audit trail; rerun the Unity menu export and this builder after changing profiles, algorithms, or dynamic trajectory data.</x:v>
      </x:c>
    </x:row>
  </x:sheetData>
  <x:mergeCells>
    <x:mergeCell ref="A1:K1"/>
    <x:mergeCell ref="A2:K2"/>
    <x:mergeCell ref="A11:K11"/>
    <x:mergeCell ref="A33:D35"/>
  </x:mergeCells>
  <x:conditionalFormatting sqref="B5:B9">
    <x:cfRule type="colorScale" priority="1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e13cdce6b7774c77"/>
</x:worksheet>
</file>